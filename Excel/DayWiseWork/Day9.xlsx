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Anudip\Excel\DayWise\"/>
    </mc:Choice>
  </mc:AlternateContent>
  <xr:revisionPtr revIDLastSave="0" documentId="13_ncr:1_{85445BF4-1799-40FB-B420-09C6BB757B30}" xr6:coauthVersionLast="47" xr6:coauthVersionMax="47" xr10:uidLastSave="{00000000-0000-0000-0000-000000000000}"/>
  <bookViews>
    <workbookView xWindow="-120" yWindow="-120" windowWidth="20730" windowHeight="11160" activeTab="2" xr2:uid="{85E5DE80-0C7E-4C5E-8F87-82B77711A6CA}"/>
  </bookViews>
  <sheets>
    <sheet name="Main Table" sheetId="1" r:id="rId1"/>
    <sheet name="PivotTable" sheetId="2" r:id="rId2"/>
    <sheet name="Dashboard" sheetId="4" r:id="rId3"/>
  </sheets>
  <definedNames>
    <definedName name="Slicer_Months">#N/A</definedName>
    <definedName name="Slicer_Payment_Mod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<sst xmlns="http://schemas.openxmlformats.org/spreadsheetml/2006/main" count="667" uniqueCount="159">
  <si>
    <t>Order ID</t>
  </si>
  <si>
    <t>Order Date</t>
  </si>
  <si>
    <t>Customer Name</t>
  </si>
  <si>
    <t>Region</t>
  </si>
  <si>
    <t>Category</t>
  </si>
  <si>
    <t>Sub-Category</t>
  </si>
  <si>
    <t>Quantity</t>
  </si>
  <si>
    <t>Unit Price</t>
  </si>
  <si>
    <t>Discount</t>
  </si>
  <si>
    <t>Total Sales</t>
  </si>
  <si>
    <t>Profit</t>
  </si>
  <si>
    <t>Payment Mode</t>
  </si>
  <si>
    <t>Sale1</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</si>
  <si>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</si>
  <si>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</si>
  <si>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</si>
  <si>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</si>
  <si>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</si>
  <si>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</si>
  <si>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</si>
  <si>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</si>
  <si>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</si>
  <si>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</si>
  <si>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</si>
  <si>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</si>
  <si>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</si>
  <si>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</si>
  <si>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</si>
  <si>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</si>
  <si>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</si>
  <si>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</si>
  <si>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</si>
  <si>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</si>
  <si>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</si>
  <si>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</si>
  <si>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</si>
  <si>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</si>
  <si>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</si>
  <si>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</si>
  <si>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</si>
  <si>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</si>
  <si>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</si>
  <si>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</si>
  <si>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</si>
  <si>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</si>
  <si>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</si>
  <si>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</si>
  <si>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</si>
  <si>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</si>
  <si>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</si>
  <si>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</si>
  <si>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</si>
  <si>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</si>
  <si>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</si>
  <si>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</si>
  <si>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</si>
  <si>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</si>
  <si>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</si>
  <si>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</si>
  <si>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</si>
  <si>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</si>
  <si>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</si>
  <si>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</si>
  <si>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</si>
  <si>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</si>
  <si>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</si>
  <si>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</si>
  <si>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</si>
  <si>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</si>
  <si>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</si>
  <si>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</si>
  <si>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</si>
  <si>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</si>
  <si>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</si>
  <si>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</si>
  <si>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</si>
  <si>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</si>
  <si>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</si>
  <si>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</si>
  <si>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</si>
  <si>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</si>
  <si>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</si>
  <si>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</si>
  <si>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</si>
  <si>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</si>
  <si>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</si>
  <si>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</si>
  <si>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</si>
  <si>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</si>
  <si>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</si>
  <si>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</si>
  <si>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</si>
  <si>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</si>
  <si>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</si>
  <si>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</si>
  <si>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</si>
  <si>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</si>
  <si>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</si>
  <si>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</si>
  <si>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</si>
  <si>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</si>
  <si>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</si>
  <si>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</si>
  <si>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</si>
  <si>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</si>
  <si>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</si>
  <si>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</si>
  <si>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</si>
  <si>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</si>
  <si>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</si>
  <si>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</si>
  <si>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</si>
  <si>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</si>
  <si>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</si>
  <si>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</si>
  <si>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</si>
  <si>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</si>
  <si>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</si>
  <si>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</si>
  <si>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</si>
  <si>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</si>
  <si>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</si>
  <si>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</si>
  <si>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</si>
  <si>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</si>
  <si>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</si>
  <si>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</si>
  <si>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</si>
  <si>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</si>
  <si>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</si>
  <si>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</si>
  <si>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</si>
  <si>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</si>
  <si>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</si>
  <si>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</si>
  <si>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</si>
  <si>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</si>
  <si>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</si>
  <si>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</si>
  <si>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</si>
  <si>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</si>
  <si>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</si>
  <si>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</si>
  <si>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Grand Total</t>
  </si>
  <si>
    <t>Sum of Total Sales</t>
  </si>
  <si>
    <t>Jan</t>
  </si>
  <si>
    <t>Feb</t>
  </si>
  <si>
    <t>Apr</t>
  </si>
  <si>
    <t>May</t>
  </si>
  <si>
    <t>Aug</t>
  </si>
  <si>
    <t>Oct</t>
  </si>
  <si>
    <t>Nov</t>
  </si>
  <si>
    <t>Dec</t>
  </si>
  <si>
    <t>Mar</t>
  </si>
  <si>
    <t>Jul</t>
  </si>
  <si>
    <t>Sep</t>
  </si>
  <si>
    <t>Jun</t>
  </si>
  <si>
    <t>Date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</si>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</sst>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6"/>
      <color theme="1"/>
      <name val="Arial Black"/>
      <family val="2"/>
    </font>
  </fonts>
  <fills count="6">
    <fill>
      <patternFill patternType="none"/>
    </fill>
    <fill>
      <patternFill patternType="gray125"/>
    </fill>
    <fill>
      <patternFill patternType="solid">
        <fgColor theme="7" tint="0.399975585192419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14" fontId="0" fillId="3" borderId="1" xfId="0" applyNumberFormat="1" applyFill="1" applyBorder="1"/>
    <xf numFmtId="0" fontId="0" fillId="3" borderId="2" xfId="0" applyFill="1" applyBorder="1"/>
    <xf numFmtId="0" fontId="0" fillId="0" borderId="0" xfId="0" pivotButton="1"/>
    <xf numFmtId="0" fontId="0" fillId="0" borderId="0" xfId="0" applyAlignment="1">
      <alignment horizontal="left"/>
    </xf>
    <xf numFmtId="0" fontId="0" fillId="0" borderId="0" xfId="0" applyNumberFormat="1"/>
    <xf numFmtId="0" fontId="0" fillId="4" borderId="4" xfId="0" applyFill="1" applyBorder="1" applyAlignment="1">
      <alignment vertical="center"/>
    </xf>
    <xf numFmtId="0" fontId="0" fillId="4" borderId="5" xfId="0" applyFill="1" applyBorder="1" applyAlignment="1">
      <alignment vertical="center"/>
    </xf>
    <xf numFmtId="0" fontId="0" fillId="4" borderId="0" xfId="0" applyFill="1"/>
    <xf numFmtId="0" fontId="0" fillId="4" borderId="0" xfId="0" applyFill="1" applyBorder="1" applyAlignment="1">
      <alignment vertical="center"/>
    </xf>
    <xf numFmtId="0" fontId="0" fillId="4" borderId="7" xfId="0" applyFill="1" applyBorder="1" applyAlignment="1">
      <alignment vertical="center"/>
    </xf>
    <xf numFmtId="0" fontId="0" fillId="4" borderId="0" xfId="0" applyFill="1" applyBorder="1"/>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0"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B74970"/>
      <color rgb="FF802AD6"/>
      <color rgb="FFEAB2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PivotTable!$A$3:$A$12</c:f>
              <c:strCache>
                <c:ptCount val="9"/>
                <c:pt idx="0">
                  <c:v>Binders</c:v>
                </c:pt>
                <c:pt idx="1">
                  <c:v>Bookcases</c:v>
                </c:pt>
                <c:pt idx="2">
                  <c:v>Chairs</c:v>
                </c:pt>
                <c:pt idx="3">
                  <c:v>Laptops</c:v>
                </c:pt>
                <c:pt idx="4">
                  <c:v>Mobiles</c:v>
                </c:pt>
                <c:pt idx="5">
                  <c:v>Paper</c:v>
                </c:pt>
                <c:pt idx="6">
                  <c:v>Pens</c:v>
                </c:pt>
                <c:pt idx="7">
                  <c:v>Printers</c:v>
                </c:pt>
                <c:pt idx="8">
                  <c:v>Tables</c:v>
                </c:pt>
              </c:strCache>
            </c:strRef>
          </c:cat>
          <c:val>
            <c:numRef>
              <c:f>PivotTable!$B$3:$B$12</c:f>
              <c:numCache>
                <c:formatCode>General</c:formatCode>
                <c:ptCount val="9"/>
                <c:pt idx="0">
                  <c:v>70067.000000000015</c:v>
                </c:pt>
                <c:pt idx="1">
                  <c:v>38336.629999999997</c:v>
                </c:pt>
                <c:pt idx="2">
                  <c:v>94203.04</c:v>
                </c:pt>
                <c:pt idx="3">
                  <c:v>63529.05999999999</c:v>
                </c:pt>
                <c:pt idx="4">
                  <c:v>85652.299999999988</c:v>
                </c:pt>
                <c:pt idx="5">
                  <c:v>41441.74</c:v>
                </c:pt>
                <c:pt idx="6">
                  <c:v>45406.15</c:v>
                </c:pt>
                <c:pt idx="7">
                  <c:v>21846.35</c:v>
                </c:pt>
                <c:pt idx="8">
                  <c:v>30592.859999999993</c:v>
                </c:pt>
              </c:numCache>
            </c:numRef>
          </c:val>
          <c:smooth val="0"/>
          <c:extLst>
            <c:ext xmlns:c16="http://schemas.microsoft.com/office/drawing/2014/chart" uri="{C3380CC4-5D6E-409C-BE32-E72D297353CC}">
              <c16:uniqueId val="{00000000-2D11-4081-94FE-B95772354CB7}"/>
            </c:ext>
          </c:extLst>
        </c:ser>
        <c:dLbls>
          <c:showLegendKey val="0"/>
          <c:showVal val="0"/>
          <c:showCatName val="0"/>
          <c:showSerName val="0"/>
          <c:showPercent val="0"/>
          <c:showBubbleSize val="0"/>
        </c:dLbls>
        <c:marker val="1"/>
        <c:smooth val="0"/>
        <c:axId val="3954623"/>
        <c:axId val="3951711"/>
      </c:lineChart>
      <c:catAx>
        <c:axId val="3954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51711"/>
        <c:crosses val="autoZero"/>
        <c:auto val="1"/>
        <c:lblAlgn val="ctr"/>
        <c:lblOffset val="100"/>
        <c:noMultiLvlLbl val="0"/>
      </c:catAx>
      <c:valAx>
        <c:axId val="3951711"/>
        <c:scaling>
          <c:orientation val="minMax"/>
        </c:scaling>
        <c:delete val="1"/>
        <c:axPos val="l"/>
        <c:numFmt formatCode="General" sourceLinked="1"/>
        <c:majorTickMark val="none"/>
        <c:minorTickMark val="none"/>
        <c:tickLblPos val="nextTo"/>
        <c:crossAx val="395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Sales</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93337248363302"/>
          <c:y val="0.2062306853620457"/>
          <c:w val="0.46613325503273406"/>
          <c:h val="0.63195936439456291"/>
        </c:manualLayout>
      </c:layout>
      <c:pieChart>
        <c:varyColors val="1"/>
        <c:ser>
          <c:idx val="0"/>
          <c:order val="0"/>
          <c:tx>
            <c:strRef>
              <c:f>PivotTable!$E$3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EEC-4ABD-93E2-80EEDB3F99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PivotTable!$D$4:$D$7</c:f>
              <c:strCache>
                <c:ptCount val="3"/>
                <c:pt idx="0">
                  <c:v>Furniture</c:v>
                </c:pt>
                <c:pt idx="1">
                  <c:v>Office Supplies</c:v>
                </c:pt>
                <c:pt idx="2">
                  <c:v>Technology</c:v>
                </c:pt>
              </c:strCache>
            </c:strRef>
          </c:cat>
          <c:val>
            <c:numRef>
              <c:f>PivotTable!$E$4:$E$7</c:f>
              <c:numCache>
                <c:formatCode>General</c:formatCode>
                <c:ptCount val="3"/>
                <c:pt idx="0">
                  <c:v>163132.53000000003</c:v>
                </c:pt>
                <c:pt idx="1">
                  <c:v>156914.88999999998</c:v>
                </c:pt>
                <c:pt idx="2">
                  <c:v>171027.71000000002</c:v>
                </c:pt>
              </c:numCache>
            </c:numRef>
          </c:val>
          <c:extLst>
            <c:ext xmlns:c16="http://schemas.microsoft.com/office/drawing/2014/chart" uri="{C3380CC4-5D6E-409C-BE32-E72D297353CC}">
              <c16:uniqueId val="{00000000-3EEC-4ABD-93E2-80EEDB3F99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PivotTable!$E$10:$E$14</c:f>
              <c:strCache>
                <c:ptCount val="4"/>
                <c:pt idx="0">
                  <c:v>East</c:v>
                </c:pt>
                <c:pt idx="1">
                  <c:v>North</c:v>
                </c:pt>
                <c:pt idx="2">
                  <c:v>South</c:v>
                </c:pt>
                <c:pt idx="3">
                  <c:v>West</c:v>
                </c:pt>
              </c:strCache>
            </c:strRef>
          </c:cat>
          <c:val>
            <c:numRef>
              <c:f>PivotTable!$F$10:$F$14</c:f>
              <c:numCache>
                <c:formatCode>General</c:formatCode>
                <c:ptCount val="4"/>
                <c:pt idx="0">
                  <c:v>156466.77000000002</c:v>
                </c:pt>
                <c:pt idx="1">
                  <c:v>105069.5</c:v>
                </c:pt>
                <c:pt idx="2">
                  <c:v>99449.71</c:v>
                </c:pt>
                <c:pt idx="3">
                  <c:v>130089.14999999998</c:v>
                </c:pt>
              </c:numCache>
            </c:numRef>
          </c:val>
          <c:extLst>
            <c:ext xmlns:c16="http://schemas.microsoft.com/office/drawing/2014/chart" uri="{C3380CC4-5D6E-409C-BE32-E72D297353CC}">
              <c16:uniqueId val="{00000000-893A-49F4-8300-346F6AECD547}"/>
            </c:ext>
          </c:extLst>
        </c:ser>
        <c:dLbls>
          <c:showLegendKey val="0"/>
          <c:showVal val="0"/>
          <c:showCatName val="0"/>
          <c:showSerName val="0"/>
          <c:showPercent val="0"/>
          <c:showBubbleSize val="0"/>
        </c:dLbls>
        <c:gapWidth val="100"/>
        <c:overlap val="-24"/>
        <c:axId val="287897087"/>
        <c:axId val="287897503"/>
      </c:barChart>
      <c:catAx>
        <c:axId val="287897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7897503"/>
        <c:crosses val="autoZero"/>
        <c:auto val="1"/>
        <c:lblAlgn val="ctr"/>
        <c:lblOffset val="100"/>
        <c:noMultiLvlLbl val="0"/>
      </c:catAx>
      <c:valAx>
        <c:axId val="287897503"/>
        <c:scaling>
          <c:orientation val="minMax"/>
        </c:scaling>
        <c:delete val="1"/>
        <c:axPos val="l"/>
        <c:numFmt formatCode="General" sourceLinked="1"/>
        <c:majorTickMark val="none"/>
        <c:minorTickMark val="none"/>
        <c:tickLblPos val="nextTo"/>
        <c:crossAx val="287897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PivotTable!$I$7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PivotTable!$H$8:$H$18</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PivotTable!$I$8:$I$18</c:f>
              <c:numCache>
                <c:formatCode>General</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extLst>
            <c:ext xmlns:c16="http://schemas.microsoft.com/office/drawing/2014/chart" uri="{C3380CC4-5D6E-409C-BE32-E72D297353CC}">
              <c16:uniqueId val="{00000000-D7FC-4EE3-99B8-51D62ED47D4C}"/>
            </c:ext>
          </c:extLst>
        </c:ser>
        <c:dLbls>
          <c:showLegendKey val="0"/>
          <c:showVal val="0"/>
          <c:showCatName val="0"/>
          <c:showSerName val="0"/>
          <c:showPercent val="0"/>
          <c:showBubbleSize val="0"/>
        </c:dLbls>
        <c:gapWidth val="115"/>
        <c:overlap val="-20"/>
        <c:axId val="298477375"/>
        <c:axId val="298474047"/>
      </c:barChart>
      <c:catAx>
        <c:axId val="2984773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8474047"/>
        <c:crosses val="autoZero"/>
        <c:auto val="1"/>
        <c:lblAlgn val="ctr"/>
        <c:lblOffset val="100"/>
        <c:noMultiLvlLbl val="0"/>
      </c:catAx>
      <c:valAx>
        <c:axId val="298474047"/>
        <c:scaling>
          <c:orientation val="minMax"/>
        </c:scaling>
        <c:delete val="1"/>
        <c:axPos val="b"/>
        <c:numFmt formatCode="General" sourceLinked="1"/>
        <c:majorTickMark val="none"/>
        <c:minorTickMark val="none"/>
        <c:tickLblPos val="nextTo"/>
        <c:crossAx val="29847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PivotTable!$L$8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PivotTable!$K$9:$K$21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PivotTable!$L$9:$L$21</c:f>
              <c:numCache>
                <c:formatCode>General</c:formatCode>
                <c:ptCount val="12"/>
                <c:pt idx="0">
                  <c:v>47322.349999999991</c:v>
                </c:pt>
                <c:pt idx="1">
                  <c:v>62559.839999999997</c:v>
                </c:pt>
                <c:pt idx="2">
                  <c:v>19909.03</c:v>
                </c:pt>
                <c:pt idx="3">
                  <c:v>44310.17</c:v>
                </c:pt>
                <c:pt idx="4">
                  <c:v>22554.239999999998</c:v>
                </c:pt>
                <c:pt idx="5">
                  <c:v>24101.27</c:v>
                </c:pt>
                <c:pt idx="6">
                  <c:v>33977.269999999997</c:v>
                </c:pt>
                <c:pt idx="7">
                  <c:v>50714.99</c:v>
                </c:pt>
                <c:pt idx="8">
                  <c:v>42323.599999999991</c:v>
                </c:pt>
                <c:pt idx="9">
                  <c:v>47650.590000000004</c:v>
                </c:pt>
                <c:pt idx="10">
                  <c:v>40175.599999999999</c:v>
                </c:pt>
                <c:pt idx="11">
                  <c:v>55476.180000000008</c:v>
                </c:pt>
              </c:numCache>
            </c:numRef>
          </c:val>
          <c:smooth val="0"/>
          <c:extLst>
            <c:ext xmlns:c16="http://schemas.microsoft.com/office/drawing/2014/chart" uri="{C3380CC4-5D6E-409C-BE32-E72D297353CC}">
              <c16:uniqueId val="{00000000-8229-43C2-9C58-E956A872B77A}"/>
            </c:ext>
          </c:extLst>
        </c:ser>
        <c:dLbls>
          <c:showLegendKey val="0"/>
          <c:showVal val="0"/>
          <c:showCatName val="0"/>
          <c:showSerName val="0"/>
          <c:showPercent val="0"/>
          <c:showBubbleSize val="0"/>
        </c:dLbls>
        <c:marker val="1"/>
        <c:smooth val="0"/>
        <c:axId val="287890015"/>
        <c:axId val="287901247"/>
      </c:lineChart>
      <c:catAx>
        <c:axId val="28789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7901247"/>
        <c:crosses val="autoZero"/>
        <c:auto val="1"/>
        <c:lblAlgn val="ctr"/>
        <c:lblOffset val="100"/>
        <c:noMultiLvlLbl val="0"/>
      </c:catAx>
      <c:valAx>
        <c:axId val="287901247"/>
        <c:scaling>
          <c:orientation val="minMax"/>
        </c:scaling>
        <c:delete val="1"/>
        <c:axPos val="l"/>
        <c:numFmt formatCode="General" sourceLinked="1"/>
        <c:majorTickMark val="none"/>
        <c:minorTickMark val="none"/>
        <c:tickLblPos val="nextTo"/>
        <c:crossAx val="28789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Sub-Category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PivotTable!$A$3:$A$12</c:f>
              <c:strCache>
                <c:ptCount val="9"/>
                <c:pt idx="0">
                  <c:v>Binders</c:v>
                </c:pt>
                <c:pt idx="1">
                  <c:v>Bookcases</c:v>
                </c:pt>
                <c:pt idx="2">
                  <c:v>Chairs</c:v>
                </c:pt>
                <c:pt idx="3">
                  <c:v>Laptops</c:v>
                </c:pt>
                <c:pt idx="4">
                  <c:v>Mobiles</c:v>
                </c:pt>
                <c:pt idx="5">
                  <c:v>Paper</c:v>
                </c:pt>
                <c:pt idx="6">
                  <c:v>Pens</c:v>
                </c:pt>
                <c:pt idx="7">
                  <c:v>Printers</c:v>
                </c:pt>
                <c:pt idx="8">
                  <c:v>Tables</c:v>
                </c:pt>
              </c:strCache>
            </c:strRef>
          </c:cat>
          <c:val>
            <c:numRef>
              <c:f>PivotTable!$B$3:$B$12</c:f>
              <c:numCache>
                <c:formatCode>General</c:formatCode>
                <c:ptCount val="9"/>
                <c:pt idx="0">
                  <c:v>70067.000000000015</c:v>
                </c:pt>
                <c:pt idx="1">
                  <c:v>38336.629999999997</c:v>
                </c:pt>
                <c:pt idx="2">
                  <c:v>94203.04</c:v>
                </c:pt>
                <c:pt idx="3">
                  <c:v>63529.05999999999</c:v>
                </c:pt>
                <c:pt idx="4">
                  <c:v>85652.299999999988</c:v>
                </c:pt>
                <c:pt idx="5">
                  <c:v>41441.74</c:v>
                </c:pt>
                <c:pt idx="6">
                  <c:v>45406.15</c:v>
                </c:pt>
                <c:pt idx="7">
                  <c:v>21846.35</c:v>
                </c:pt>
                <c:pt idx="8">
                  <c:v>30592.859999999993</c:v>
                </c:pt>
              </c:numCache>
            </c:numRef>
          </c:val>
          <c:extLst>
            <c:ext xmlns:c16="http://schemas.microsoft.com/office/drawing/2014/chart" uri="{C3380CC4-5D6E-409C-BE32-E72D297353CC}">
              <c16:uniqueId val="{00000000-406D-4990-BC46-B32D54C717BA}"/>
            </c:ext>
          </c:extLst>
        </c:ser>
        <c:dLbls>
          <c:showLegendKey val="0"/>
          <c:showVal val="0"/>
          <c:showCatName val="0"/>
          <c:showSerName val="0"/>
          <c:showPercent val="0"/>
          <c:showBubbleSize val="0"/>
        </c:dLbls>
        <c:gapWidth val="150"/>
        <c:axId val="3954623"/>
        <c:axId val="3951711"/>
      </c:barChart>
      <c:catAx>
        <c:axId val="3954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51711"/>
        <c:crosses val="autoZero"/>
        <c:auto val="1"/>
        <c:lblAlgn val="ctr"/>
        <c:lblOffset val="100"/>
        <c:noMultiLvlLbl val="0"/>
      </c:catAx>
      <c:valAx>
        <c:axId val="3951711"/>
        <c:scaling>
          <c:orientation val="minMax"/>
        </c:scaling>
        <c:delete val="1"/>
        <c:axPos val="l"/>
        <c:numFmt formatCode="General" sourceLinked="1"/>
        <c:majorTickMark val="none"/>
        <c:minorTickMark val="none"/>
        <c:tickLblPos val="nextTo"/>
        <c:crossAx val="3954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PivotTable!$E$10:$E$14</c:f>
              <c:strCache>
                <c:ptCount val="4"/>
                <c:pt idx="0">
                  <c:v>East</c:v>
                </c:pt>
                <c:pt idx="1">
                  <c:v>North</c:v>
                </c:pt>
                <c:pt idx="2">
                  <c:v>South</c:v>
                </c:pt>
                <c:pt idx="3">
                  <c:v>West</c:v>
                </c:pt>
              </c:strCache>
            </c:strRef>
          </c:cat>
          <c:val>
            <c:numRef>
              <c:f>PivotTable!$F$10:$F$14</c:f>
              <c:numCache>
                <c:formatCode>General</c:formatCode>
                <c:ptCount val="4"/>
                <c:pt idx="0">
                  <c:v>156466.77000000002</c:v>
                </c:pt>
                <c:pt idx="1">
                  <c:v>105069.5</c:v>
                </c:pt>
                <c:pt idx="2">
                  <c:v>99449.71</c:v>
                </c:pt>
                <c:pt idx="3">
                  <c:v>130089.14999999998</c:v>
                </c:pt>
              </c:numCache>
            </c:numRef>
          </c:val>
          <c:extLst>
            <c:ext xmlns:c16="http://schemas.microsoft.com/office/drawing/2014/chart" uri="{C3380CC4-5D6E-409C-BE32-E72D297353CC}">
              <c16:uniqueId val="{00000000-D1AA-4981-B6C2-2C6106524832}"/>
            </c:ext>
          </c:extLst>
        </c:ser>
        <c:dLbls>
          <c:showLegendKey val="0"/>
          <c:showVal val="0"/>
          <c:showCatName val="0"/>
          <c:showSerName val="0"/>
          <c:showPercent val="0"/>
          <c:showBubbleSize val="0"/>
        </c:dLbls>
        <c:gapWidth val="100"/>
        <c:axId val="287897087"/>
        <c:axId val="287897503"/>
      </c:barChart>
      <c:catAx>
        <c:axId val="287897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87897503"/>
        <c:crosses val="autoZero"/>
        <c:auto val="1"/>
        <c:lblAlgn val="ctr"/>
        <c:lblOffset val="100"/>
        <c:noMultiLvlLbl val="0"/>
      </c:catAx>
      <c:valAx>
        <c:axId val="287897503"/>
        <c:scaling>
          <c:orientation val="minMax"/>
        </c:scaling>
        <c:delete val="1"/>
        <c:axPos val="b"/>
        <c:numFmt formatCode="General" sourceLinked="1"/>
        <c:majorTickMark val="none"/>
        <c:minorTickMark val="none"/>
        <c:tickLblPos val="nextTo"/>
        <c:crossAx val="287897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Sales</a:t>
            </a:r>
          </a:p>
        </c:rich>
      </c:tx>
      <c:overlay val="1"/>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693337248363302"/>
          <c:y val="0.2062306853620457"/>
          <c:w val="0.46613325503273406"/>
          <c:h val="0.63195936439456291"/>
        </c:manualLayout>
      </c:layout>
      <c:pieChart>
        <c:varyColors val="1"/>
        <c:ser>
          <c:idx val="0"/>
          <c:order val="0"/>
          <c:tx>
            <c:strRef>
              <c:f>PivotTable!$E$3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102-4101-A663-F8CFF64C96B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102-4101-A663-F8CFF64C96B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102-4101-A663-F8CFF64C96B6}"/>
              </c:ext>
            </c:extLst>
          </c:dPt>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PivotTable!$D$4:$D$7</c:f>
              <c:strCache>
                <c:ptCount val="3"/>
                <c:pt idx="0">
                  <c:v>Furniture</c:v>
                </c:pt>
                <c:pt idx="1">
                  <c:v>Office Supplies</c:v>
                </c:pt>
                <c:pt idx="2">
                  <c:v>Technology</c:v>
                </c:pt>
              </c:strCache>
            </c:strRef>
          </c:cat>
          <c:val>
            <c:numRef>
              <c:f>PivotTable!$E$4:$E$7</c:f>
              <c:numCache>
                <c:formatCode>General</c:formatCode>
                <c:ptCount val="3"/>
                <c:pt idx="0">
                  <c:v>163132.53000000003</c:v>
                </c:pt>
                <c:pt idx="1">
                  <c:v>156914.88999999998</c:v>
                </c:pt>
                <c:pt idx="2">
                  <c:v>171027.71000000002</c:v>
                </c:pt>
              </c:numCache>
            </c:numRef>
          </c:val>
          <c:extLst>
            <c:ext xmlns:c16="http://schemas.microsoft.com/office/drawing/2014/chart" uri="{C3380CC4-5D6E-409C-BE32-E72D297353CC}">
              <c16:uniqueId val="{00000006-3102-4101-A663-F8CFF64C96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PivotTable!$I$7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PivotTable!$H$8:$H$18</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PivotTable!$I$8:$I$18</c:f>
              <c:numCache>
                <c:formatCode>General</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extLst>
            <c:ext xmlns:c16="http://schemas.microsoft.com/office/drawing/2014/chart" uri="{C3380CC4-5D6E-409C-BE32-E72D297353CC}">
              <c16:uniqueId val="{00000000-3825-40E2-97E2-7C92A02C8BC8}"/>
            </c:ext>
          </c:extLst>
        </c:ser>
        <c:dLbls>
          <c:showLegendKey val="0"/>
          <c:showVal val="0"/>
          <c:showCatName val="0"/>
          <c:showSerName val="0"/>
          <c:showPercent val="0"/>
          <c:showBubbleSize val="0"/>
        </c:dLbls>
        <c:gapWidth val="115"/>
        <c:overlap val="-20"/>
        <c:axId val="298477375"/>
        <c:axId val="298474047"/>
      </c:barChart>
      <c:catAx>
        <c:axId val="2984773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98474047"/>
        <c:crosses val="autoZero"/>
        <c:auto val="1"/>
        <c:lblAlgn val="ctr"/>
        <c:lblOffset val="100"/>
        <c:noMultiLvlLbl val="0"/>
      </c:catAx>
      <c:valAx>
        <c:axId val="298474047"/>
        <c:scaling>
          <c:orientation val="minMax"/>
        </c:scaling>
        <c:delete val="1"/>
        <c:axPos val="b"/>
        <c:numFmt formatCode="General" sourceLinked="1"/>
        <c:majorTickMark val="none"/>
        <c:minorTickMark val="none"/>
        <c:tickLblPos val="nextTo"/>
        <c:crossAx val="29847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[Day9.xlsx]PivotTable!PivotTable5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t>Month wise Sales</a:t>
            </a:r>
          </a:p>
        </c:rich>
      </c:tx>
      <c:layout>
        <c:manualLayout>
          <c:xMode val="edge"/>
          <c:yMode val="edge"/>
          <c:x val="0.38114024659789975"/>
          <c:y val="8.9552249330385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77899693947881E-2"/>
          <c:y val="0.25958975903041009"/>
          <c:w val="0.96184420061210418"/>
          <c:h val="0.63653738824037942"/>
        </c:manualLayout>
      </c:layout>
      <c:lineChart>
        <c:grouping val="standard"/>
        <c:varyColors val="0"/>
        <c:ser>
          <c:idx val="0"/>
          <c:order val="0"/>
          <c:tx>
            <c:strRef>
              <c:f>PivotTable!$L$8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PivotTable!$K$9:$K$21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PivotTable!$L$9:$L$21</c:f>
              <c:numCache>
                <c:formatCode>General</c:formatCode>
                <c:ptCount val="12"/>
                <c:pt idx="0">
                  <c:v>47322.349999999991</c:v>
                </c:pt>
                <c:pt idx="1">
                  <c:v>62559.839999999997</c:v>
                </c:pt>
                <c:pt idx="2">
                  <c:v>19909.03</c:v>
                </c:pt>
                <c:pt idx="3">
                  <c:v>44310.17</c:v>
                </c:pt>
                <c:pt idx="4">
                  <c:v>22554.239999999998</c:v>
                </c:pt>
                <c:pt idx="5">
                  <c:v>24101.27</c:v>
                </c:pt>
                <c:pt idx="6">
                  <c:v>33977.269999999997</c:v>
                </c:pt>
                <c:pt idx="7">
                  <c:v>50714.99</c:v>
                </c:pt>
                <c:pt idx="8">
                  <c:v>42323.599999999991</c:v>
                </c:pt>
                <c:pt idx="9">
                  <c:v>47650.590000000004</c:v>
                </c:pt>
                <c:pt idx="10">
                  <c:v>40175.599999999999</c:v>
                </c:pt>
                <c:pt idx="11">
                  <c:v>55476.180000000008</c:v>
                </c:pt>
              </c:numCache>
            </c:numRef>
          </c:val>
          <c:smooth val="0"/>
          <c:extLst>
            <c:ext xmlns:c16="http://schemas.microsoft.com/office/drawing/2014/chart" uri="{C3380CC4-5D6E-409C-BE32-E72D297353CC}">
              <c16:uniqueId val="{00000000-15F1-4E1F-B30D-52FB97DD39F4}"/>
            </c:ext>
          </c:extLst>
        </c:ser>
        <c:dLbls>
          <c:showLegendKey val="0"/>
          <c:showVal val="0"/>
          <c:showCatName val="0"/>
          <c:showSerName val="0"/>
          <c:showPercent val="0"/>
          <c:showBubbleSize val="0"/>
        </c:dLbls>
        <c:marker val="1"/>
        <c:smooth val="0"/>
        <c:axId val="287890015"/>
        <c:axId val="287901247"/>
      </c:lineChart>
      <c:catAx>
        <c:axId val="28789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287901247"/>
        <c:crosses val="autoZero"/>
        <c:auto val="1"/>
        <c:lblAlgn val="ctr"/>
        <c:lblOffset val="100"/>
        <c:noMultiLvlLbl val="0"/>
      </c:catAx>
      <c:valAx>
        <c:axId val="287901247"/>
        <c:scaling>
          <c:orientation val="minMax"/>
        </c:scaling>
        <c:delete val="1"/>
        <c:axPos val="l"/>
        <c:numFmt formatCode="General" sourceLinked="1"/>
        <c:majorTickMark val="none"/>
        <c:minorTickMark val="none"/>
        <c:tickLblPos val="nextTo"/>
        <c:crossAx val="28789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114301</xdr:colOff>
      <xdr:row>12</xdr:row>
      <xdr:rowOff>152400</xdr:rowOff>
    </xdr:from>
    <xdr:to>
      <xdr:col>5</xdr:col>
      <xdr:colOff>266700</xdr:colOff>
      <xdr:row>22</xdr:row>
      <xdr:rowOff>80960</xdr:rowOff>
    </xdr:to>
    <xdr:graphicFrame macro="">
      <xdr:nvGraphicFramePr>
        <xdr:cNvPr id="3" name="Chart 2">
          <a:extLst>
            <a:ext uri="{FF2B5EF4-FFF2-40B4-BE49-F238E27FC236}">
              <a16:creationId xmlns:a16="http://schemas.microsoft.com/office/drawing/2014/main" id="{C0EDAC30-6865-4767-9DD3-1A3778CC3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22</xdr:row>
      <xdr:rowOff>152399</xdr:rowOff>
    </xdr:from>
    <xdr:to>
      <xdr:col>7</xdr:col>
      <xdr:colOff>514351</xdr:colOff>
      <xdr:row>35</xdr:row>
      <xdr:rowOff>28574</xdr:rowOff>
    </xdr:to>
    <xdr:graphicFrame macro="">
      <xdr:nvGraphicFramePr>
        <xdr:cNvPr id="4" name="Chart 3">
          <a:extLst>
            <a:ext uri="{FF2B5EF4-FFF2-40B4-BE49-F238E27FC236}">
              <a16:creationId xmlns:a16="http://schemas.microsoft.com/office/drawing/2014/main" id="{5967C9B3-5470-485C-AF9B-F047A93DF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23</xdr:row>
      <xdr:rowOff>76199</xdr:rowOff>
    </xdr:from>
    <xdr:to>
      <xdr:col>4</xdr:col>
      <xdr:colOff>466725</xdr:colOff>
      <xdr:row>34</xdr:row>
      <xdr:rowOff>185736</xdr:rowOff>
    </xdr:to>
    <xdr:graphicFrame macro="">
      <xdr:nvGraphicFramePr>
        <xdr:cNvPr id="5" name="Chart 4">
          <a:extLst>
            <a:ext uri="{FF2B5EF4-FFF2-40B4-BE49-F238E27FC236}">
              <a16:creationId xmlns:a16="http://schemas.microsoft.com/office/drawing/2014/main" id="{234B98B5-D34A-4D4E-AF97-6F10C1B7F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600075</xdr:colOff>
      <xdr:row>22</xdr:row>
      <xdr:rowOff>142875</xdr:rowOff>
    </xdr:from>
    <xdr:to>
      <xdr:col>11</xdr:col>
      <xdr:colOff>1133475</xdr:colOff>
      <xdr:row>35</xdr:row>
      <xdr:rowOff>176212</xdr:rowOff>
    </xdr:to>
    <xdr:graphicFrame macro="">
      <xdr:nvGraphicFramePr>
        <xdr:cNvPr id="6" name="Chart 5">
          <a:extLst>
            <a:ext uri="{FF2B5EF4-FFF2-40B4-BE49-F238E27FC236}">
              <a16:creationId xmlns:a16="http://schemas.microsoft.com/office/drawing/2014/main" id="{B2E68BFA-4D18-4EB3-B10C-0A7C4D62A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590550</xdr:colOff>
      <xdr:row>0</xdr:row>
      <xdr:rowOff>104776</xdr:rowOff>
    </xdr:from>
    <xdr:to>
      <xdr:col>12</xdr:col>
      <xdr:colOff>28575</xdr:colOff>
      <xdr:row>5</xdr:row>
      <xdr:rowOff>47626</xdr:rowOff>
    </xdr:to>
    <mc:AlternateContent xmlns:mc="http://schemas.openxmlformats.org/markup-compatibility/2006">
      <mc:Choice xmlns:a14="http://schemas.microsoft.com/office/drawing/2010/main" Requires="a14">
        <xdr:graphicFrame macro="">
          <xdr:nvGraphicFramePr>
            <xdr:cNvPr id="8" name="Months">
              <a:extLst>
                <a:ext uri="{FF2B5EF4-FFF2-40B4-BE49-F238E27FC236}">
                  <a16:creationId xmlns:a16="http://schemas.microsoft.com/office/drawing/2014/main" id="{5C51C966-949A-4219-B167-6E87C1EA6132}"/>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6238875" y="104776"/>
              <a:ext cx="48958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876300</xdr:colOff>
      <xdr:row>35</xdr:row>
      <xdr:rowOff>185737</xdr:rowOff>
    </xdr:from>
    <xdr:to>
      <xdr:col>7</xdr:col>
      <xdr:colOff>200025</xdr:colOff>
      <xdr:row>50</xdr:row>
      <xdr:rowOff>71437</xdr:rowOff>
    </xdr:to>
    <xdr:graphicFrame macro="">
      <xdr:nvGraphicFramePr>
        <xdr:cNvPr id="9" name="Chart 8">
          <a:extLst>
            <a:ext uri="{FF2B5EF4-FFF2-40B4-BE49-F238E27FC236}">
              <a16:creationId xmlns:a16="http://schemas.microsoft.com/office/drawing/2014/main" id="{D8C1B271-29B7-47BC-A03B-71B9B3E91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133350</xdr:colOff>
      <xdr:row>0</xdr:row>
      <xdr:rowOff>104775</xdr:rowOff>
    </xdr:from>
    <xdr:to>
      <xdr:col>14</xdr:col>
      <xdr:colOff>581025</xdr:colOff>
      <xdr:row>8</xdr:row>
      <xdr:rowOff>57150</xdr:rowOff>
    </xdr:to>
    <mc:AlternateContent xmlns:mc="http://schemas.openxmlformats.org/markup-compatibility/2006">
      <mc:Choice xmlns:a14="http://schemas.microsoft.com/office/drawing/2010/main" Requires="a14">
        <xdr:graphicFrame macro="">
          <xdr:nvGraphicFramePr>
            <xdr:cNvPr id="10" name="Payment Mode">
              <a:extLst>
                <a:ext uri="{FF2B5EF4-FFF2-40B4-BE49-F238E27FC236}">
                  <a16:creationId xmlns:a16="http://schemas.microsoft.com/office/drawing/2014/main" id="{F984B59F-3F3D-468B-918F-2C15793668D9}"/>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1239500" y="104775"/>
              <a:ext cx="1666875"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222250</xdr:colOff>
      <xdr:row>18</xdr:row>
      <xdr:rowOff>158750</xdr:rowOff>
    </xdr:from>
    <xdr:to>
      <xdr:col>22</xdr:col>
      <xdr:colOff>222250</xdr:colOff>
      <xdr:row>32</xdr:row>
      <xdr:rowOff>116417</xdr:rowOff>
    </xdr:to>
    <xdr:graphicFrame macro="">
      <xdr:nvGraphicFramePr>
        <xdr:cNvPr id="2" name="Chart 1">
          <a:extLst>
            <a:ext uri="{FF2B5EF4-FFF2-40B4-BE49-F238E27FC236}">
              <a16:creationId xmlns:a16="http://schemas.microsoft.com/office/drawing/2014/main" id="{9B285951-76D8-4738-BF83-EC2626352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83608</xdr:colOff>
      <xdr:row>4</xdr:row>
      <xdr:rowOff>10583</xdr:rowOff>
    </xdr:from>
    <xdr:to>
      <xdr:col>7</xdr:col>
      <xdr:colOff>21166</xdr:colOff>
      <xdr:row>17</xdr:row>
      <xdr:rowOff>148167</xdr:rowOff>
    </xdr:to>
    <xdr:graphicFrame macro="">
      <xdr:nvGraphicFramePr>
        <xdr:cNvPr id="3" name="Chart 2">
          <a:extLst>
            <a:ext uri="{FF2B5EF4-FFF2-40B4-BE49-F238E27FC236}">
              <a16:creationId xmlns:a16="http://schemas.microsoft.com/office/drawing/2014/main" id="{C0C5A4F8-CDCD-4235-A74C-E33FADAC1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111123</xdr:colOff>
      <xdr:row>3</xdr:row>
      <xdr:rowOff>156632</xdr:rowOff>
    </xdr:from>
    <xdr:to>
      <xdr:col>12</xdr:col>
      <xdr:colOff>105831</xdr:colOff>
      <xdr:row>17</xdr:row>
      <xdr:rowOff>137583</xdr:rowOff>
    </xdr:to>
    <xdr:graphicFrame macro="">
      <xdr:nvGraphicFramePr>
        <xdr:cNvPr id="4" name="Chart 3">
          <a:extLst>
            <a:ext uri="{FF2B5EF4-FFF2-40B4-BE49-F238E27FC236}">
              <a16:creationId xmlns:a16="http://schemas.microsoft.com/office/drawing/2014/main" id="{F98F0774-54A3-45E5-956D-02DBFA0CD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179918</xdr:colOff>
      <xdr:row>3</xdr:row>
      <xdr:rowOff>158750</xdr:rowOff>
    </xdr:from>
    <xdr:to>
      <xdr:col>22</xdr:col>
      <xdr:colOff>211667</xdr:colOff>
      <xdr:row>18</xdr:row>
      <xdr:rowOff>95250</xdr:rowOff>
    </xdr:to>
    <xdr:graphicFrame macro="">
      <xdr:nvGraphicFramePr>
        <xdr:cNvPr id="5" name="Chart 4">
          <a:extLst>
            <a:ext uri="{FF2B5EF4-FFF2-40B4-BE49-F238E27FC236}">
              <a16:creationId xmlns:a16="http://schemas.microsoft.com/office/drawing/2014/main" id="{F7AFA5ED-8775-4036-B254-16407B39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95253</xdr:colOff>
      <xdr:row>0</xdr:row>
      <xdr:rowOff>63500</xdr:rowOff>
    </xdr:from>
    <xdr:to>
      <xdr:col>15</xdr:col>
      <xdr:colOff>162776</xdr:colOff>
      <xdr:row>3</xdr:row>
      <xdr:rowOff>10583</xdr:rowOff>
    </xdr:to>
    <mc:AlternateContent xmlns:mc="http://schemas.openxmlformats.org/markup-compatibility/2006">
      <mc:Choice xmlns:a14="http://schemas.microsoft.com/office/drawing/2010/main" Requires="a14">
        <xdr:graphicFrame macro="">
          <xdr:nvGraphicFramePr>
            <xdr:cNvPr id="6" name="Months 1">
              <a:extLst>
                <a:ext uri="{FF2B5EF4-FFF2-40B4-BE49-F238E27FC236}">
                  <a16:creationId xmlns:a16="http://schemas.microsoft.com/office/drawing/2014/main" id="{F10B659B-AE06-42F0-B9D7-C37941245FEA}"/>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4953003" y="63500"/>
              <a:ext cx="4318054" cy="1042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112182</xdr:colOff>
      <xdr:row>17</xdr:row>
      <xdr:rowOff>179917</xdr:rowOff>
    </xdr:from>
    <xdr:to>
      <xdr:col>12</xdr:col>
      <xdr:colOff>148166</xdr:colOff>
      <xdr:row>32</xdr:row>
      <xdr:rowOff>158750</xdr:rowOff>
    </xdr:to>
    <xdr:graphicFrame macro="">
      <xdr:nvGraphicFramePr>
        <xdr:cNvPr id="7" name="Chart 6">
          <a:extLst>
            <a:ext uri="{FF2B5EF4-FFF2-40B4-BE49-F238E27FC236}">
              <a16:creationId xmlns:a16="http://schemas.microsoft.com/office/drawing/2014/main" id="{87FD6D58-6BC1-4BB9-B226-D95CCF5D5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232832</xdr:colOff>
      <xdr:row>0</xdr:row>
      <xdr:rowOff>84666</xdr:rowOff>
    </xdr:from>
    <xdr:to>
      <xdr:col>22</xdr:col>
      <xdr:colOff>179916</xdr:colOff>
      <xdr:row>3</xdr:row>
      <xdr:rowOff>0</xdr:rowOff>
    </xdr:to>
    <mc:AlternateContent xmlns:mc="http://schemas.openxmlformats.org/markup-compatibility/2006">
      <mc:Choice xmlns:a14="http://schemas.microsoft.com/office/drawing/2010/main" Requires="a14">
        <xdr:graphicFrame macro="">
          <xdr:nvGraphicFramePr>
            <xdr:cNvPr id="8" name="Payment Mode 1">
              <a:extLst>
                <a:ext uri="{FF2B5EF4-FFF2-40B4-BE49-F238E27FC236}">
                  <a16:creationId xmlns:a16="http://schemas.microsoft.com/office/drawing/2014/main" id="{549E2CDD-2C13-4134-B6F1-B4A946B52B2C}"/>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9341113" y="84666"/>
              <a:ext cx="4197616" cy="1010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eshna Dutta" refreshedDate="45995.434598032407" createdVersion="7" refreshedVersion="7" minRefreshableVersion="3" recordCount="100" xr:uid="{0DA9E4E9-4B99-45F7-9786-3128AF1C22F6}">
  <cacheSource type="worksheet">
    <worksheetSource ref="A1:M101" sheet="Main Table"/>
  </cacheSource>
  <cacheFields count="14">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3" base="1">
        <rangePr groupBy="days" startDate="2023-01-02T00:00:00" endDate="2023-12-31T00:00:00"/>
        <groupItems count="368">
          <s v="&lt;02-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3"/>
        </groupItems>
      </fieldGroup>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ount="9">
        <s v="Pens"/>
        <s v="Laptops"/>
        <s v="Bookcases"/>
        <s v="Paper"/>
        <s v="Binders"/>
        <s v="Printers"/>
        <s v="Mobiles"/>
        <s v="Tables"/>
        <s v="Chai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ount="4">
        <s v="UPI"/>
        <s v="Cash"/>
        <s v="Net Banking"/>
        <s v="Credit Card"/>
      </sharedItems>
    </cacheField>
    <cacheField name="Sale1" numFmtId="0">
      <sharedItems containsSemiMixedTypes="0" containsString="0" containsNumber="1" containsInteger="1" minValue="150" maxValue="1000"/>
    </cacheField>
    <cacheField name="Months" numFmtId="0" databaseField="0">
      <fieldGroup base="1">
        <rangePr groupBy="months" startDate="2023-01-02T00:00:00" endDate="2023-12-31T00:00:00"/>
        <groupItems count="14">
          <s v="&lt;02-01-23"/>
          <s v="Jan"/>
          <s v="Feb"/>
          <s v="Mar"/>
          <s v="Apr"/>
          <s v="May"/>
          <s v="Jun"/>
          <s v="Jul"/>
          <s v="Aug"/>
          <s v="Sep"/>
          <s v="Oct"/>
          <s v="Nov"/>
          <s v="Dec"/>
          <s v="&gt;31-12-23"/>
        </groupItems>
      </fieldGroup>
    </cacheField>
  </cacheFields>
  <extLst>
    <ext xmlns:x14="http://schemas.microsoft.com/office/spreadsheetml/2009/9/main" uri="{725AE2AE-9491-48be-B2B4-4EB974FC3084}">
      <x14:pivotCacheDefinition pivotCacheId="7731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n v="3"/>
    <n v="1443.03"/>
    <n v="0.1"/>
    <n v="3896.18"/>
    <n v="964.48"/>
    <x v="0"/>
    <n v="540"/>
  </r>
  <r>
    <s v="ORD-1001"/>
    <x v="1"/>
    <x v="1"/>
    <x v="1"/>
    <x v="1"/>
    <x v="1"/>
    <n v="7"/>
    <n v="1715.07"/>
    <n v="0.15"/>
    <n v="10204.69"/>
    <n v="1354.41"/>
    <x v="1"/>
    <n v="316"/>
  </r>
  <r>
    <s v="ORD-1002"/>
    <x v="2"/>
    <x v="0"/>
    <x v="1"/>
    <x v="2"/>
    <x v="2"/>
    <n v="8"/>
    <n v="621.97"/>
    <n v="0.1"/>
    <n v="4478.1899999999996"/>
    <n v="752.58"/>
    <x v="1"/>
    <n v="411"/>
  </r>
  <r>
    <s v="ORD-1003"/>
    <x v="3"/>
    <x v="2"/>
    <x v="0"/>
    <x v="0"/>
    <x v="3"/>
    <n v="5"/>
    <n v="1166.43"/>
    <n v="0.1"/>
    <n v="5248.92"/>
    <n v="948.39"/>
    <x v="2"/>
    <n v="737"/>
  </r>
  <r>
    <s v="ORD-1004"/>
    <x v="4"/>
    <x v="0"/>
    <x v="1"/>
    <x v="2"/>
    <x v="2"/>
    <n v="7"/>
    <n v="1003.2"/>
    <n v="0.2"/>
    <n v="5617.94"/>
    <n v="995.18"/>
    <x v="0"/>
    <n v="225"/>
  </r>
  <r>
    <s v="ORD-1005"/>
    <x v="5"/>
    <x v="3"/>
    <x v="0"/>
    <x v="2"/>
    <x v="2"/>
    <n v="4"/>
    <n v="1891.42"/>
    <n v="0.1"/>
    <n v="6809.12"/>
    <n v="1523.17"/>
    <x v="3"/>
    <n v="308"/>
  </r>
  <r>
    <s v="ORD-1006"/>
    <x v="6"/>
    <x v="4"/>
    <x v="0"/>
    <x v="1"/>
    <x v="1"/>
    <n v="5"/>
    <n v="1755.78"/>
    <n v="0.15"/>
    <n v="7462.04"/>
    <n v="780.61"/>
    <x v="1"/>
    <n v="329"/>
  </r>
  <r>
    <s v="ORD-1007"/>
    <x v="0"/>
    <x v="5"/>
    <x v="2"/>
    <x v="0"/>
    <x v="4"/>
    <n v="7"/>
    <n v="1802.57"/>
    <n v="0"/>
    <n v="12618.01"/>
    <n v="1489.34"/>
    <x v="3"/>
    <n v="290"/>
  </r>
  <r>
    <s v="ORD-1008"/>
    <x v="7"/>
    <x v="0"/>
    <x v="3"/>
    <x v="2"/>
    <x v="2"/>
    <n v="7"/>
    <n v="412.85"/>
    <n v="0.1"/>
    <n v="2600.9299999999998"/>
    <n v="401.46"/>
    <x v="0"/>
    <n v="882"/>
  </r>
  <r>
    <s v="ORD-1009"/>
    <x v="8"/>
    <x v="6"/>
    <x v="0"/>
    <x v="1"/>
    <x v="5"/>
    <n v="6"/>
    <n v="515.65"/>
    <n v="0"/>
    <n v="3093.91"/>
    <n v="467.05"/>
    <x v="2"/>
    <n v="974"/>
  </r>
  <r>
    <s v="ORD-1010"/>
    <x v="9"/>
    <x v="6"/>
    <x v="1"/>
    <x v="1"/>
    <x v="5"/>
    <n v="2"/>
    <n v="1453.31"/>
    <n v="0.2"/>
    <n v="2325.3000000000002"/>
    <n v="281.85000000000002"/>
    <x v="3"/>
    <n v="732"/>
  </r>
  <r>
    <s v="ORD-1011"/>
    <x v="10"/>
    <x v="3"/>
    <x v="3"/>
    <x v="1"/>
    <x v="6"/>
    <n v="6"/>
    <n v="162.80000000000001"/>
    <n v="0"/>
    <n v="976.78"/>
    <n v="203.74"/>
    <x v="2"/>
    <n v="741"/>
  </r>
  <r>
    <s v="ORD-1012"/>
    <x v="11"/>
    <x v="6"/>
    <x v="1"/>
    <x v="1"/>
    <x v="6"/>
    <n v="7"/>
    <n v="1377.06"/>
    <n v="0.1"/>
    <n v="8675.4599999999991"/>
    <n v="1235.5"/>
    <x v="1"/>
    <n v="754"/>
  </r>
  <r>
    <s v="ORD-1013"/>
    <x v="12"/>
    <x v="7"/>
    <x v="2"/>
    <x v="2"/>
    <x v="7"/>
    <n v="6"/>
    <n v="857.77"/>
    <n v="0"/>
    <n v="5146.6000000000004"/>
    <n v="451.25"/>
    <x v="3"/>
    <n v="538"/>
  </r>
  <r>
    <s v="ORD-1014"/>
    <x v="13"/>
    <x v="4"/>
    <x v="2"/>
    <x v="0"/>
    <x v="0"/>
    <n v="4"/>
    <n v="131.52000000000001"/>
    <n v="0.1"/>
    <n v="473.46"/>
    <n v="119.49"/>
    <x v="0"/>
    <n v="987"/>
  </r>
  <r>
    <s v="ORD-1015"/>
    <x v="14"/>
    <x v="5"/>
    <x v="3"/>
    <x v="2"/>
    <x v="8"/>
    <n v="8"/>
    <n v="834.8"/>
    <n v="0.05"/>
    <n v="6344.46"/>
    <n v="1645.93"/>
    <x v="1"/>
    <n v="361"/>
  </r>
  <r>
    <s v="ORD-1016"/>
    <x v="15"/>
    <x v="4"/>
    <x v="2"/>
    <x v="0"/>
    <x v="0"/>
    <n v="3"/>
    <n v="534.25"/>
    <n v="0.05"/>
    <n v="1522.6"/>
    <n v="449.99"/>
    <x v="3"/>
    <n v="459"/>
  </r>
  <r>
    <s v="ORD-1017"/>
    <x v="16"/>
    <x v="5"/>
    <x v="1"/>
    <x v="1"/>
    <x v="1"/>
    <n v="5"/>
    <n v="1810.79"/>
    <n v="0.1"/>
    <n v="8148.57"/>
    <n v="791.85"/>
    <x v="0"/>
    <n v="929"/>
  </r>
  <r>
    <s v="ORD-1018"/>
    <x v="17"/>
    <x v="8"/>
    <x v="2"/>
    <x v="0"/>
    <x v="4"/>
    <n v="8"/>
    <n v="1786.76"/>
    <n v="0.15"/>
    <n v="12149.99"/>
    <n v="863.07"/>
    <x v="1"/>
    <n v="546"/>
  </r>
  <r>
    <s v="ORD-1019"/>
    <x v="18"/>
    <x v="3"/>
    <x v="0"/>
    <x v="1"/>
    <x v="5"/>
    <n v="9"/>
    <n v="1360.65"/>
    <n v="0.2"/>
    <n v="9796.7000000000007"/>
    <n v="1185.21"/>
    <x v="1"/>
    <n v="652"/>
  </r>
  <r>
    <s v="ORD-1020"/>
    <x v="19"/>
    <x v="0"/>
    <x v="2"/>
    <x v="0"/>
    <x v="3"/>
    <n v="9"/>
    <n v="434.26"/>
    <n v="0.15"/>
    <n v="3322.07"/>
    <n v="363.14"/>
    <x v="2"/>
    <n v="347"/>
  </r>
  <r>
    <s v="ORD-1021"/>
    <x v="20"/>
    <x v="7"/>
    <x v="1"/>
    <x v="0"/>
    <x v="0"/>
    <n v="1"/>
    <n v="685.32"/>
    <n v="0.15"/>
    <n v="582.52"/>
    <n v="103.22"/>
    <x v="1"/>
    <n v="238"/>
  </r>
  <r>
    <s v="ORD-1022"/>
    <x v="21"/>
    <x v="3"/>
    <x v="3"/>
    <x v="1"/>
    <x v="6"/>
    <n v="6"/>
    <n v="1959.9"/>
    <n v="0.1"/>
    <n v="10583.44"/>
    <n v="2889.4"/>
    <x v="1"/>
    <n v="360"/>
  </r>
  <r>
    <s v="ORD-1023"/>
    <x v="22"/>
    <x v="4"/>
    <x v="1"/>
    <x v="2"/>
    <x v="2"/>
    <n v="1"/>
    <n v="470.96"/>
    <n v="0.2"/>
    <n v="376.77"/>
    <n v="65.86"/>
    <x v="2"/>
    <n v="503"/>
  </r>
  <r>
    <s v="ORD-1024"/>
    <x v="23"/>
    <x v="8"/>
    <x v="3"/>
    <x v="2"/>
    <x v="8"/>
    <n v="5"/>
    <n v="1778.64"/>
    <n v="0.15"/>
    <n v="7559.21"/>
    <n v="407.17"/>
    <x v="3"/>
    <n v="500"/>
  </r>
  <r>
    <s v="ORD-1025"/>
    <x v="24"/>
    <x v="0"/>
    <x v="2"/>
    <x v="1"/>
    <x v="1"/>
    <n v="3"/>
    <n v="1962.63"/>
    <n v="0.15"/>
    <n v="5004.71"/>
    <n v="618.64"/>
    <x v="0"/>
    <n v="395"/>
  </r>
  <r>
    <s v="ORD-1026"/>
    <x v="25"/>
    <x v="8"/>
    <x v="0"/>
    <x v="2"/>
    <x v="2"/>
    <n v="2"/>
    <n v="1157.92"/>
    <n v="0.05"/>
    <n v="2200.0500000000002"/>
    <n v="621.52"/>
    <x v="2"/>
    <n v="900"/>
  </r>
  <r>
    <s v="ORD-1027"/>
    <x v="26"/>
    <x v="2"/>
    <x v="3"/>
    <x v="0"/>
    <x v="4"/>
    <n v="7"/>
    <n v="366.16"/>
    <n v="0.1"/>
    <n v="2306.81"/>
    <n v="285.63"/>
    <x v="2"/>
    <n v="862"/>
  </r>
  <r>
    <s v="ORD-1028"/>
    <x v="27"/>
    <x v="2"/>
    <x v="1"/>
    <x v="2"/>
    <x v="8"/>
    <n v="6"/>
    <n v="783.03"/>
    <n v="0.2"/>
    <n v="3758.56"/>
    <n v="466.54"/>
    <x v="1"/>
    <n v="862"/>
  </r>
  <r>
    <s v="ORD-1029"/>
    <x v="28"/>
    <x v="8"/>
    <x v="2"/>
    <x v="2"/>
    <x v="8"/>
    <n v="7"/>
    <n v="1052.8800000000001"/>
    <n v="0.2"/>
    <n v="5896.13"/>
    <n v="581.16999999999996"/>
    <x v="1"/>
    <n v="285"/>
  </r>
  <r>
    <s v="ORD-1030"/>
    <x v="29"/>
    <x v="1"/>
    <x v="1"/>
    <x v="1"/>
    <x v="5"/>
    <n v="7"/>
    <n v="152.47"/>
    <n v="0.05"/>
    <n v="1013.94"/>
    <n v="74.52"/>
    <x v="1"/>
    <n v="282"/>
  </r>
  <r>
    <s v="ORD-1031"/>
    <x v="30"/>
    <x v="7"/>
    <x v="1"/>
    <x v="0"/>
    <x v="3"/>
    <n v="6"/>
    <n v="1222.58"/>
    <n v="0"/>
    <n v="7335.5"/>
    <n v="435.27"/>
    <x v="1"/>
    <n v="370"/>
  </r>
  <r>
    <s v="ORD-1032"/>
    <x v="31"/>
    <x v="0"/>
    <x v="1"/>
    <x v="0"/>
    <x v="3"/>
    <n v="1"/>
    <n v="1672.95"/>
    <n v="0.15"/>
    <n v="1422.01"/>
    <n v="147.83000000000001"/>
    <x v="2"/>
    <n v="754"/>
  </r>
  <r>
    <s v="ORD-1033"/>
    <x v="2"/>
    <x v="4"/>
    <x v="2"/>
    <x v="1"/>
    <x v="1"/>
    <n v="4"/>
    <n v="881.57"/>
    <n v="0.1"/>
    <n v="3173.66"/>
    <n v="664.43"/>
    <x v="3"/>
    <n v="586"/>
  </r>
  <r>
    <s v="ORD-1034"/>
    <x v="32"/>
    <x v="1"/>
    <x v="0"/>
    <x v="1"/>
    <x v="6"/>
    <n v="3"/>
    <n v="1610.85"/>
    <n v="0.1"/>
    <n v="4349.3100000000004"/>
    <n v="694.77"/>
    <x v="3"/>
    <n v="480"/>
  </r>
  <r>
    <s v="ORD-1035"/>
    <x v="33"/>
    <x v="2"/>
    <x v="0"/>
    <x v="1"/>
    <x v="1"/>
    <n v="7"/>
    <n v="913.8"/>
    <n v="0.15"/>
    <n v="5437.1"/>
    <n v="827.73"/>
    <x v="3"/>
    <n v="237"/>
  </r>
  <r>
    <s v="ORD-1036"/>
    <x v="34"/>
    <x v="1"/>
    <x v="2"/>
    <x v="0"/>
    <x v="4"/>
    <n v="6"/>
    <n v="1457.73"/>
    <n v="0.2"/>
    <n v="6997.11"/>
    <n v="839.54"/>
    <x v="0"/>
    <n v="588"/>
  </r>
  <r>
    <s v="ORD-1037"/>
    <x v="35"/>
    <x v="0"/>
    <x v="0"/>
    <x v="2"/>
    <x v="7"/>
    <n v="7"/>
    <n v="190.66"/>
    <n v="0.05"/>
    <n v="1267.8900000000001"/>
    <n v="176.23"/>
    <x v="3"/>
    <n v="866"/>
  </r>
  <r>
    <s v="ORD-1038"/>
    <x v="36"/>
    <x v="2"/>
    <x v="0"/>
    <x v="2"/>
    <x v="7"/>
    <n v="5"/>
    <n v="278.89999999999998"/>
    <n v="0.15"/>
    <n v="1185.32"/>
    <n v="111.22"/>
    <x v="2"/>
    <n v="206"/>
  </r>
  <r>
    <s v="ORD-1039"/>
    <x v="37"/>
    <x v="2"/>
    <x v="0"/>
    <x v="2"/>
    <x v="2"/>
    <n v="4"/>
    <n v="429.08"/>
    <n v="0.2"/>
    <n v="1373.07"/>
    <n v="205.45"/>
    <x v="3"/>
    <n v="980"/>
  </r>
  <r>
    <s v="ORD-1040"/>
    <x v="38"/>
    <x v="4"/>
    <x v="2"/>
    <x v="1"/>
    <x v="5"/>
    <n v="3"/>
    <n v="1055.96"/>
    <n v="0"/>
    <n v="3167.88"/>
    <n v="585.55999999999995"/>
    <x v="2"/>
    <n v="331"/>
  </r>
  <r>
    <s v="ORD-1041"/>
    <x v="14"/>
    <x v="3"/>
    <x v="1"/>
    <x v="0"/>
    <x v="4"/>
    <n v="1"/>
    <n v="1747.68"/>
    <n v="0.1"/>
    <n v="1572.91"/>
    <n v="393.6"/>
    <x v="2"/>
    <n v="625"/>
  </r>
  <r>
    <s v="ORD-1042"/>
    <x v="39"/>
    <x v="6"/>
    <x v="2"/>
    <x v="2"/>
    <x v="8"/>
    <n v="3"/>
    <n v="1659.22"/>
    <n v="0.15"/>
    <n v="4231"/>
    <n v="619.95000000000005"/>
    <x v="1"/>
    <n v="497"/>
  </r>
  <r>
    <s v="ORD-1043"/>
    <x v="40"/>
    <x v="6"/>
    <x v="0"/>
    <x v="0"/>
    <x v="3"/>
    <n v="2"/>
    <n v="174.03"/>
    <n v="0.05"/>
    <n v="330.66"/>
    <n v="72.989999999999995"/>
    <x v="2"/>
    <n v="674"/>
  </r>
  <r>
    <s v="ORD-1044"/>
    <x v="6"/>
    <x v="3"/>
    <x v="3"/>
    <x v="2"/>
    <x v="7"/>
    <n v="2"/>
    <n v="595.32000000000005"/>
    <n v="0.15"/>
    <n v="1012.04"/>
    <n v="225.91"/>
    <x v="0"/>
    <n v="421"/>
  </r>
  <r>
    <s v="ORD-1045"/>
    <x v="41"/>
    <x v="5"/>
    <x v="2"/>
    <x v="2"/>
    <x v="8"/>
    <n v="5"/>
    <n v="1938.4"/>
    <n v="0.15"/>
    <n v="8238.2099999999991"/>
    <n v="777.36"/>
    <x v="2"/>
    <n v="837"/>
  </r>
  <r>
    <s v="ORD-1046"/>
    <x v="42"/>
    <x v="8"/>
    <x v="1"/>
    <x v="0"/>
    <x v="3"/>
    <n v="3"/>
    <n v="883.97"/>
    <n v="0.05"/>
    <n v="2519.3200000000002"/>
    <n v="283.43"/>
    <x v="1"/>
    <n v="369"/>
  </r>
  <r>
    <s v="ORD-1047"/>
    <x v="43"/>
    <x v="6"/>
    <x v="3"/>
    <x v="2"/>
    <x v="8"/>
    <n v="7"/>
    <n v="1526.66"/>
    <n v="0"/>
    <n v="10686.59"/>
    <n v="1170.81"/>
    <x v="1"/>
    <n v="806"/>
  </r>
  <r>
    <s v="ORD-1048"/>
    <x v="44"/>
    <x v="9"/>
    <x v="2"/>
    <x v="2"/>
    <x v="7"/>
    <n v="3"/>
    <n v="839.48"/>
    <n v="0.15"/>
    <n v="2140.6799999999998"/>
    <n v="620.02"/>
    <x v="3"/>
    <n v="150"/>
  </r>
  <r>
    <s v="ORD-1049"/>
    <x v="45"/>
    <x v="5"/>
    <x v="2"/>
    <x v="0"/>
    <x v="4"/>
    <n v="4"/>
    <n v="1189.53"/>
    <n v="0.2"/>
    <n v="3806.5"/>
    <n v="277.58999999999997"/>
    <x v="0"/>
    <n v="824"/>
  </r>
  <r>
    <s v="ORD-1050"/>
    <x v="46"/>
    <x v="2"/>
    <x v="1"/>
    <x v="2"/>
    <x v="8"/>
    <n v="7"/>
    <n v="1584.46"/>
    <n v="0.2"/>
    <n v="8872.99"/>
    <n v="2508.6799999999998"/>
    <x v="1"/>
    <n v="466"/>
  </r>
  <r>
    <s v="ORD-1051"/>
    <x v="47"/>
    <x v="3"/>
    <x v="1"/>
    <x v="0"/>
    <x v="4"/>
    <n v="5"/>
    <n v="1500.37"/>
    <n v="0.2"/>
    <n v="6001.47"/>
    <n v="826.58"/>
    <x v="2"/>
    <n v="970"/>
  </r>
  <r>
    <s v="ORD-1052"/>
    <x v="48"/>
    <x v="5"/>
    <x v="0"/>
    <x v="2"/>
    <x v="7"/>
    <n v="1"/>
    <n v="292.13"/>
    <n v="0.2"/>
    <n v="233.71"/>
    <n v="24.69"/>
    <x v="0"/>
    <n v="698"/>
  </r>
  <r>
    <s v="ORD-1053"/>
    <x v="49"/>
    <x v="6"/>
    <x v="0"/>
    <x v="1"/>
    <x v="6"/>
    <n v="5"/>
    <n v="1075.32"/>
    <n v="0.1"/>
    <n v="4838.9399999999996"/>
    <n v="945.17"/>
    <x v="2"/>
    <n v="788"/>
  </r>
  <r>
    <s v="ORD-1054"/>
    <x v="50"/>
    <x v="9"/>
    <x v="3"/>
    <x v="2"/>
    <x v="2"/>
    <n v="7"/>
    <n v="1973.4"/>
    <n v="0.15"/>
    <n v="11741.74"/>
    <n v="1615.13"/>
    <x v="2"/>
    <n v="507"/>
  </r>
  <r>
    <s v="ORD-1055"/>
    <x v="51"/>
    <x v="3"/>
    <x v="2"/>
    <x v="1"/>
    <x v="5"/>
    <n v="3"/>
    <n v="311.27999999999997"/>
    <n v="0.1"/>
    <n v="840.44"/>
    <n v="95.32"/>
    <x v="1"/>
    <n v="496"/>
  </r>
  <r>
    <s v="ORD-1056"/>
    <x v="52"/>
    <x v="5"/>
    <x v="1"/>
    <x v="1"/>
    <x v="1"/>
    <n v="9"/>
    <n v="1514"/>
    <n v="0.1"/>
    <n v="12263.42"/>
    <n v="2401.69"/>
    <x v="2"/>
    <n v="354"/>
  </r>
  <r>
    <s v="ORD-1057"/>
    <x v="53"/>
    <x v="0"/>
    <x v="2"/>
    <x v="2"/>
    <x v="8"/>
    <n v="8"/>
    <n v="1103.9000000000001"/>
    <n v="0.2"/>
    <n v="7064.98"/>
    <n v="2054.54"/>
    <x v="1"/>
    <n v="937"/>
  </r>
  <r>
    <s v="ORD-1058"/>
    <x v="54"/>
    <x v="3"/>
    <x v="1"/>
    <x v="2"/>
    <x v="2"/>
    <n v="5"/>
    <n v="580.67999999999995"/>
    <n v="0.1"/>
    <n v="2613.0700000000002"/>
    <n v="763.87"/>
    <x v="3"/>
    <n v="464"/>
  </r>
  <r>
    <s v="ORD-1059"/>
    <x v="55"/>
    <x v="5"/>
    <x v="1"/>
    <x v="2"/>
    <x v="7"/>
    <n v="1"/>
    <n v="1292.3599999999999"/>
    <n v="0.1"/>
    <n v="1163.1199999999999"/>
    <n v="320.2"/>
    <x v="2"/>
    <n v="738"/>
  </r>
  <r>
    <s v="ORD-1060"/>
    <x v="56"/>
    <x v="2"/>
    <x v="2"/>
    <x v="1"/>
    <x v="6"/>
    <n v="8"/>
    <n v="1278.25"/>
    <n v="0.05"/>
    <n v="9714.7099999999991"/>
    <n v="942.62"/>
    <x v="1"/>
    <n v="911"/>
  </r>
  <r>
    <s v="ORD-1061"/>
    <x v="57"/>
    <x v="6"/>
    <x v="3"/>
    <x v="1"/>
    <x v="1"/>
    <n v="9"/>
    <n v="593.9"/>
    <n v="0.1"/>
    <n v="4810.63"/>
    <n v="1080.18"/>
    <x v="3"/>
    <n v="474"/>
  </r>
  <r>
    <s v="ORD-1062"/>
    <x v="12"/>
    <x v="0"/>
    <x v="1"/>
    <x v="2"/>
    <x v="8"/>
    <n v="3"/>
    <n v="1662.82"/>
    <n v="0.05"/>
    <n v="4739.04"/>
    <n v="730.57"/>
    <x v="3"/>
    <n v="248"/>
  </r>
  <r>
    <s v="ORD-1063"/>
    <x v="58"/>
    <x v="1"/>
    <x v="2"/>
    <x v="1"/>
    <x v="6"/>
    <n v="8"/>
    <n v="1765.66"/>
    <n v="0.1"/>
    <n v="12712.73"/>
    <n v="779.35"/>
    <x v="3"/>
    <n v="905"/>
  </r>
  <r>
    <s v="ORD-1064"/>
    <x v="59"/>
    <x v="2"/>
    <x v="1"/>
    <x v="1"/>
    <x v="1"/>
    <n v="2"/>
    <n v="1975.82"/>
    <n v="0"/>
    <n v="3951.65"/>
    <n v="569.77"/>
    <x v="3"/>
    <n v="193"/>
  </r>
  <r>
    <s v="ORD-1065"/>
    <x v="60"/>
    <x v="6"/>
    <x v="3"/>
    <x v="1"/>
    <x v="5"/>
    <n v="1"/>
    <n v="1692.82"/>
    <n v="0.05"/>
    <n v="1608.18"/>
    <n v="95.21"/>
    <x v="2"/>
    <n v="269"/>
  </r>
  <r>
    <s v="ORD-1066"/>
    <x v="61"/>
    <x v="0"/>
    <x v="1"/>
    <x v="0"/>
    <x v="4"/>
    <n v="1"/>
    <n v="1115.26"/>
    <n v="0.2"/>
    <n v="892.21"/>
    <n v="266.91000000000003"/>
    <x v="3"/>
    <n v="840"/>
  </r>
  <r>
    <s v="ORD-1067"/>
    <x v="62"/>
    <x v="9"/>
    <x v="3"/>
    <x v="2"/>
    <x v="8"/>
    <n v="3"/>
    <n v="569.96"/>
    <n v="0"/>
    <n v="1709.88"/>
    <n v="140.71"/>
    <x v="3"/>
    <n v="368"/>
  </r>
  <r>
    <s v="ORD-1068"/>
    <x v="63"/>
    <x v="8"/>
    <x v="1"/>
    <x v="1"/>
    <x v="1"/>
    <n v="1"/>
    <n v="1538.3"/>
    <n v="0.05"/>
    <n v="1461.38"/>
    <n v="203.92"/>
    <x v="1"/>
    <n v="758"/>
  </r>
  <r>
    <s v="ORD-1069"/>
    <x v="64"/>
    <x v="6"/>
    <x v="0"/>
    <x v="1"/>
    <x v="6"/>
    <n v="6"/>
    <n v="1567.4"/>
    <n v="0.1"/>
    <n v="8463.99"/>
    <n v="1074.45"/>
    <x v="2"/>
    <n v="241"/>
  </r>
  <r>
    <s v="ORD-1070"/>
    <x v="65"/>
    <x v="3"/>
    <x v="1"/>
    <x v="2"/>
    <x v="7"/>
    <n v="9"/>
    <n v="1220.92"/>
    <n v="0.2"/>
    <n v="8790.6"/>
    <n v="1802.75"/>
    <x v="0"/>
    <n v="695"/>
  </r>
  <r>
    <s v="ORD-1071"/>
    <x v="66"/>
    <x v="9"/>
    <x v="1"/>
    <x v="0"/>
    <x v="4"/>
    <n v="2"/>
    <n v="766.12"/>
    <n v="0.05"/>
    <n v="1455.62"/>
    <n v="304.45999999999998"/>
    <x v="1"/>
    <n v="679"/>
  </r>
  <r>
    <s v="ORD-1072"/>
    <x v="67"/>
    <x v="2"/>
    <x v="1"/>
    <x v="2"/>
    <x v="7"/>
    <n v="1"/>
    <n v="1588.94"/>
    <n v="0.15"/>
    <n v="1350.6"/>
    <n v="168.14"/>
    <x v="3"/>
    <n v="183"/>
  </r>
  <r>
    <s v="ORD-1073"/>
    <x v="68"/>
    <x v="4"/>
    <x v="2"/>
    <x v="2"/>
    <x v="8"/>
    <n v="4"/>
    <n v="972.76"/>
    <n v="0"/>
    <n v="3891.04"/>
    <n v="673.26"/>
    <x v="3"/>
    <n v="824"/>
  </r>
  <r>
    <s v="ORD-1074"/>
    <x v="69"/>
    <x v="9"/>
    <x v="1"/>
    <x v="1"/>
    <x v="6"/>
    <n v="5"/>
    <n v="760.09"/>
    <n v="0.1"/>
    <n v="3420.38"/>
    <n v="666.68"/>
    <x v="3"/>
    <n v="159"/>
  </r>
  <r>
    <s v="ORD-1075"/>
    <x v="70"/>
    <x v="8"/>
    <x v="3"/>
    <x v="0"/>
    <x v="0"/>
    <n v="6"/>
    <n v="1425.57"/>
    <n v="0.15"/>
    <n v="7270.4"/>
    <n v="694.11"/>
    <x v="0"/>
    <n v="1000"/>
  </r>
  <r>
    <s v="ORD-1076"/>
    <x v="2"/>
    <x v="0"/>
    <x v="0"/>
    <x v="0"/>
    <x v="0"/>
    <n v="2"/>
    <n v="1243.68"/>
    <n v="0.1"/>
    <n v="2238.62"/>
    <n v="134.80000000000001"/>
    <x v="2"/>
    <n v="382"/>
  </r>
  <r>
    <s v="ORD-1077"/>
    <x v="8"/>
    <x v="2"/>
    <x v="0"/>
    <x v="1"/>
    <x v="1"/>
    <n v="6"/>
    <n v="268.52999999999997"/>
    <n v="0"/>
    <n v="1611.21"/>
    <n v="295.83"/>
    <x v="1"/>
    <n v="907"/>
  </r>
  <r>
    <s v="ORD-1078"/>
    <x v="71"/>
    <x v="8"/>
    <x v="0"/>
    <x v="2"/>
    <x v="7"/>
    <n v="9"/>
    <n v="275.35000000000002"/>
    <n v="0"/>
    <n v="2478.17"/>
    <n v="550.02"/>
    <x v="0"/>
    <n v="579"/>
  </r>
  <r>
    <s v="ORD-1079"/>
    <x v="32"/>
    <x v="9"/>
    <x v="3"/>
    <x v="0"/>
    <x v="3"/>
    <n v="1"/>
    <n v="626.07000000000005"/>
    <n v="0"/>
    <n v="626.07000000000005"/>
    <n v="44.53"/>
    <x v="2"/>
    <n v="947"/>
  </r>
  <r>
    <s v="ORD-1080"/>
    <x v="72"/>
    <x v="8"/>
    <x v="0"/>
    <x v="0"/>
    <x v="0"/>
    <n v="8"/>
    <n v="1020.59"/>
    <n v="0.05"/>
    <n v="7756.51"/>
    <n v="1861.48"/>
    <x v="3"/>
    <n v="800"/>
  </r>
  <r>
    <s v="ORD-1081"/>
    <x v="73"/>
    <x v="3"/>
    <x v="0"/>
    <x v="1"/>
    <x v="6"/>
    <n v="8"/>
    <n v="352.92"/>
    <n v="0.1"/>
    <n v="2541.04"/>
    <n v="695.74"/>
    <x v="1"/>
    <n v="523"/>
  </r>
  <r>
    <s v="ORD-1082"/>
    <x v="74"/>
    <x v="5"/>
    <x v="3"/>
    <x v="0"/>
    <x v="0"/>
    <n v="9"/>
    <n v="1501.07"/>
    <n v="0.15"/>
    <n v="11483.18"/>
    <n v="631.78"/>
    <x v="0"/>
    <n v="836"/>
  </r>
  <r>
    <s v="ORD-1083"/>
    <x v="75"/>
    <x v="2"/>
    <x v="1"/>
    <x v="1"/>
    <x v="6"/>
    <n v="9"/>
    <n v="1792"/>
    <n v="0.15"/>
    <n v="13708.81"/>
    <n v="2309.83"/>
    <x v="3"/>
    <n v="361"/>
  </r>
  <r>
    <s v="ORD-1084"/>
    <x v="76"/>
    <x v="8"/>
    <x v="3"/>
    <x v="2"/>
    <x v="7"/>
    <n v="4"/>
    <n v="1120.5"/>
    <n v="0.05"/>
    <n v="4257.91"/>
    <n v="806.6"/>
    <x v="2"/>
    <n v="474"/>
  </r>
  <r>
    <s v="ORD-1085"/>
    <x v="50"/>
    <x v="3"/>
    <x v="1"/>
    <x v="0"/>
    <x v="4"/>
    <n v="9"/>
    <n v="741.15"/>
    <n v="0.15"/>
    <n v="5669.79"/>
    <n v="1199.04"/>
    <x v="2"/>
    <n v="477"/>
  </r>
  <r>
    <s v="ORD-1086"/>
    <x v="77"/>
    <x v="0"/>
    <x v="0"/>
    <x v="0"/>
    <x v="3"/>
    <n v="6"/>
    <n v="1250.97"/>
    <n v="0"/>
    <n v="7505.83"/>
    <n v="389.43"/>
    <x v="1"/>
    <n v="966"/>
  </r>
  <r>
    <s v="ORD-1087"/>
    <x v="78"/>
    <x v="8"/>
    <x v="3"/>
    <x v="0"/>
    <x v="4"/>
    <n v="8"/>
    <n v="1803.85"/>
    <n v="0.1"/>
    <n v="12987.75"/>
    <n v="2352.44"/>
    <x v="2"/>
    <n v="994"/>
  </r>
  <r>
    <s v="ORD-1088"/>
    <x v="71"/>
    <x v="7"/>
    <x v="0"/>
    <x v="0"/>
    <x v="4"/>
    <n v="2"/>
    <n v="1194.4000000000001"/>
    <n v="0.1"/>
    <n v="2149.91"/>
    <n v="572.69000000000005"/>
    <x v="3"/>
    <n v="370"/>
  </r>
  <r>
    <s v="ORD-1089"/>
    <x v="31"/>
    <x v="8"/>
    <x v="0"/>
    <x v="1"/>
    <x v="6"/>
    <n v="3"/>
    <n v="1659.64"/>
    <n v="0.05"/>
    <n v="4729.96"/>
    <n v="894.87"/>
    <x v="0"/>
    <n v="984"/>
  </r>
  <r>
    <s v="ORD-1090"/>
    <x v="79"/>
    <x v="6"/>
    <x v="2"/>
    <x v="2"/>
    <x v="8"/>
    <n v="6"/>
    <n v="1939.19"/>
    <n v="0.15"/>
    <n v="9889.86"/>
    <n v="1546.37"/>
    <x v="3"/>
    <n v="256"/>
  </r>
  <r>
    <s v="ORD-1091"/>
    <x v="80"/>
    <x v="9"/>
    <x v="3"/>
    <x v="0"/>
    <x v="3"/>
    <n v="6"/>
    <n v="1204.3499999999999"/>
    <n v="0.1"/>
    <n v="6503.5"/>
    <n v="1840.51"/>
    <x v="1"/>
    <n v="496"/>
  </r>
  <r>
    <s v="ORD-1092"/>
    <x v="81"/>
    <x v="8"/>
    <x v="0"/>
    <x v="1"/>
    <x v="6"/>
    <n v="5"/>
    <n v="220.41"/>
    <n v="0.15"/>
    <n v="936.75"/>
    <n v="94.08"/>
    <x v="2"/>
    <n v="632"/>
  </r>
  <r>
    <s v="ORD-1093"/>
    <x v="82"/>
    <x v="8"/>
    <x v="0"/>
    <x v="2"/>
    <x v="2"/>
    <n v="5"/>
    <n v="105.15"/>
    <n v="0"/>
    <n v="525.75"/>
    <n v="104.58"/>
    <x v="0"/>
    <n v="553"/>
  </r>
  <r>
    <s v="ORD-1094"/>
    <x v="83"/>
    <x v="0"/>
    <x v="2"/>
    <x v="0"/>
    <x v="4"/>
    <n v="1"/>
    <n v="1716.38"/>
    <n v="0.15"/>
    <n v="1458.92"/>
    <n v="424.92"/>
    <x v="0"/>
    <n v="782"/>
  </r>
  <r>
    <s v="ORD-1095"/>
    <x v="27"/>
    <x v="8"/>
    <x v="1"/>
    <x v="2"/>
    <x v="7"/>
    <n v="3"/>
    <n v="226.34"/>
    <n v="0.15"/>
    <n v="577.16999999999996"/>
    <n v="150.33000000000001"/>
    <x v="3"/>
    <n v="826"/>
  </r>
  <r>
    <s v="ORD-1096"/>
    <x v="84"/>
    <x v="2"/>
    <x v="0"/>
    <x v="2"/>
    <x v="7"/>
    <n v="3"/>
    <n v="412.11"/>
    <n v="0.2"/>
    <n v="989.05"/>
    <n v="107.73"/>
    <x v="2"/>
    <n v="995"/>
  </r>
  <r>
    <s v="ORD-1097"/>
    <x v="85"/>
    <x v="6"/>
    <x v="1"/>
    <x v="2"/>
    <x v="8"/>
    <n v="9"/>
    <n v="1397.67"/>
    <n v="0.1"/>
    <n v="11321.09"/>
    <n v="2332.4299999999998"/>
    <x v="0"/>
    <n v="879"/>
  </r>
  <r>
    <s v="ORD-1098"/>
    <x v="18"/>
    <x v="8"/>
    <x v="2"/>
    <x v="0"/>
    <x v="3"/>
    <n v="9"/>
    <n v="775.19"/>
    <n v="0.05"/>
    <n v="6627.86"/>
    <n v="1232.04"/>
    <x v="0"/>
    <n v="422"/>
  </r>
  <r>
    <s v="ORD-1099"/>
    <x v="86"/>
    <x v="4"/>
    <x v="1"/>
    <x v="0"/>
    <x v="0"/>
    <n v="6"/>
    <n v="1885.68"/>
    <n v="0.1"/>
    <n v="10182.68"/>
    <n v="1361.69"/>
    <x v="0"/>
    <n v="3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6945A4-5DD7-46BB-A07B-B84AD4B55B69}"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ate">
  <location ref="K8:L21" firstHeaderRow="1" firstDataRow="1" firstDataCol="1"/>
  <pivotFields count="14">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1">
        <item x="6"/>
        <item x="0"/>
        <item x="8"/>
        <item x="7"/>
        <item x="4"/>
        <item x="5"/>
        <item x="9"/>
        <item x="2"/>
        <item x="3"/>
        <item x="1"/>
        <item t="default"/>
      </items>
    </pivotField>
    <pivotField showAll="0">
      <items count="5">
        <item x="1"/>
        <item x="3"/>
        <item x="0"/>
        <item x="2"/>
        <item t="default"/>
      </items>
    </pivotField>
    <pivotField showAll="0">
      <items count="4">
        <item x="2"/>
        <item x="0"/>
        <item x="1"/>
        <item t="default"/>
      </items>
    </pivotField>
    <pivotField showAll="0"/>
    <pivotField showAll="0"/>
    <pivotField showAll="0"/>
    <pivotField showAll="0"/>
    <pivotField dataField="1" showAll="0"/>
    <pivotField showAll="0"/>
    <pivotField showAll="0">
      <items count="5">
        <item x="1"/>
        <item x="3"/>
        <item x="2"/>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3"/>
    <field x="1"/>
  </rowFields>
  <rowItems count="13">
    <i>
      <x v="1"/>
    </i>
    <i>
      <x v="2"/>
    </i>
    <i>
      <x v="3"/>
    </i>
    <i>
      <x v="4"/>
    </i>
    <i>
      <x v="5"/>
    </i>
    <i>
      <x v="6"/>
    </i>
    <i>
      <x v="7"/>
    </i>
    <i>
      <x v="8"/>
    </i>
    <i>
      <x v="9"/>
    </i>
    <i>
      <x v="10"/>
    </i>
    <i>
      <x v="11"/>
    </i>
    <i>
      <x v="12"/>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B0283-D9A5-4CAC-953D-ACA2EF943D09}"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ustomer Name">
  <location ref="H7:I18"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x="6"/>
        <item x="0"/>
        <item x="8"/>
        <item x="7"/>
        <item x="4"/>
        <item x="5"/>
        <item x="9"/>
        <item x="2"/>
        <item x="3"/>
        <item x="1"/>
        <item t="default"/>
      </items>
    </pivotField>
    <pivotField showAll="0">
      <items count="5">
        <item x="1"/>
        <item x="3"/>
        <item x="0"/>
        <item x="2"/>
        <item t="default"/>
      </items>
    </pivotField>
    <pivotField showAll="0">
      <items count="4">
        <item x="2"/>
        <item x="0"/>
        <item x="1"/>
        <item t="default"/>
      </items>
    </pivotField>
    <pivotField showAll="0"/>
    <pivotField showAll="0"/>
    <pivotField showAll="0"/>
    <pivotField showAll="0"/>
    <pivotField dataField="1" showAll="0"/>
    <pivotField showAll="0"/>
    <pivotField showAll="0">
      <items count="5">
        <item x="1"/>
        <item x="3"/>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32EFE-647D-4AD2-A75B-013FEC74EC5D}"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E9:F14"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1"/>
        <item x="3"/>
        <item x="0"/>
        <item x="2"/>
        <item t="default"/>
      </items>
    </pivotField>
    <pivotField showAll="0">
      <items count="4">
        <item x="2"/>
        <item x="0"/>
        <item x="1"/>
        <item t="default"/>
      </items>
    </pivotField>
    <pivotField showAll="0"/>
    <pivotField showAll="0"/>
    <pivotField showAll="0"/>
    <pivotField showAll="0"/>
    <pivotField dataField="1" showAll="0"/>
    <pivotField showAll="0"/>
    <pivotField showAll="0">
      <items count="5">
        <item x="1"/>
        <item x="3"/>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5E8D4-60F2-4A96-AD8E-E9AB58F3D5B7}"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Sub-Category">
  <location ref="A2:B12"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4">
        <item x="2"/>
        <item x="0"/>
        <item x="1"/>
        <item t="default"/>
      </items>
    </pivotField>
    <pivotField axis="axisRow" showAll="0">
      <items count="10">
        <item x="4"/>
        <item x="2"/>
        <item x="8"/>
        <item x="1"/>
        <item x="6"/>
        <item x="3"/>
        <item x="0"/>
        <item x="5"/>
        <item x="7"/>
        <item t="default"/>
      </items>
    </pivotField>
    <pivotField showAll="0"/>
    <pivotField showAll="0"/>
    <pivotField showAll="0"/>
    <pivotField dataField="1" showAll="0"/>
    <pivotField showAll="0"/>
    <pivotField showAll="0">
      <items count="5">
        <item x="1"/>
        <item x="3"/>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Sum of Total Sales"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F4F4A0-1D8D-443A-936D-EC29876D599F}"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D3:E7" firstHeaderRow="1" firstDataRow="1" firstDataCol="1"/>
  <pivotFields count="14">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items count="5">
        <item x="1"/>
        <item x="3"/>
        <item x="2"/>
        <item x="0"/>
        <item t="default"/>
      </items>
    </pivotField>
    <pivotField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Total Sales" fld="9"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44BEB6AD-FE64-48F9-B790-6ACBFAD2AD4E}" sourceName="Months">
  <pivotTables>
    <pivotTable tabId="2" name="PivotTable5"/>
    <pivotTable tabId="2" name="PivotTable1"/>
    <pivotTable tabId="2" name="PivotTable2"/>
    <pivotTable tabId="2" name="PivotTable3"/>
    <pivotTable tabId="2" name="PivotTable4"/>
  </pivotTables>
  <data>
    <tabular pivotCacheId="773108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34AACA6-8D3F-4040-B064-AABB4011E15C}" sourceName="Payment Mode">
  <pivotTables>
    <pivotTable tabId="2" name="PivotTable5"/>
    <pivotTable tabId="2" name="PivotTable1"/>
    <pivotTable tabId="2" name="PivotTable2"/>
    <pivotTable tabId="2" name="PivotTable3"/>
    <pivotTable tabId="2" name="PivotTable4"/>
  </pivotTables>
  <data>
    <tabular pivotCacheId="773108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DDE2765-53E6-4B77-90AD-48DE3761CD91}" cache="Slicer_Months" caption="Months" columnCount="6" style="SlicerStyleDark6" rowHeight="241300"/>
  <slicer name="Payment Mode" xr10:uid="{DD0ECCDD-449B-4EC1-B97F-167EF0736CDB}" cache="Slicer_Payment_Mode" caption="Payment Mod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1B936F86-DE90-4018-83EF-5B8726BFC280}" cache="Slicer_Months" caption="Months" columnCount="6" style="SlicerStyleDark6" rowHeight="274320"/>
  <slicer name="Payment Mode 1" xr10:uid="{3BA4FFA2-7258-4B4D-8E01-F69A8E8C1D83}" cache="Slicer_Payment_Mode" caption="Payment Mode" columnCount="4" style="SlicerStyleDark2"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2B6D7-71ED-45F5-9340-6780CAD31051}">
  <dimension ref="A1:M101"/>
  <sheetViews>
    <sheetView workbookViewId="0">
      <selection activeCell="C10" sqref="C10"/>
    </sheetView>
  </sheetViews>
  <sheetFormatPr defaultRowHeight="15" x14ac:dyDescent="0.25"/>
  <cols>
    <col min="1" max="1" width="9.5703125" bestFit="1" customWidth="1"/>
    <col min="2" max="2" width="10.7109375" bestFit="1" customWidth="1"/>
    <col min="3" max="3" width="15.42578125" bestFit="1" customWidth="1"/>
    <col min="4" max="4" width="7.140625" bestFit="1" customWidth="1"/>
    <col min="5" max="5" width="14.5703125" bestFit="1" customWidth="1"/>
    <col min="6" max="6" width="12.85546875" bestFit="1" customWidth="1"/>
    <col min="7" max="7" width="8.7109375" bestFit="1" customWidth="1"/>
    <col min="8" max="8" width="9.7109375" bestFit="1" customWidth="1"/>
    <col min="9" max="9" width="8.7109375" bestFit="1" customWidth="1"/>
    <col min="10" max="10" width="10.42578125" bestFit="1" customWidth="1"/>
    <col min="11" max="11" width="8" bestFit="1" customWidth="1"/>
    <col min="12" max="12" width="14.7109375" bestFit="1" customWidth="1"/>
    <col min="13" max="13" width="5.71093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2" t="s">
        <v>11</v>
      </c>
      <c r="M1" s="1" t="s">
        <v>12</v>
      </c>
    </row>
    <row r="2" spans="1:13" x14ac:dyDescent="0.25">
      <c r="A2" s="3" t="s">
        <v>13</v>
      </c>
      <c r="B2" s="4">
        <v>45029</v>
      </c>
      <c r="C2" s="3" t="s">
        <v>14</v>
      </c>
      <c r="D2" s="3" t="s">
        <v>15</v>
      </c>
      <c r="E2" s="3" t="s">
        <v>16</v>
      </c>
      <c r="F2" s="3" t="s">
        <v>17</v>
      </c>
      <c r="G2" s="3">
        <v>3</v>
      </c>
      <c r="H2" s="3">
        <v>1443.03</v>
      </c>
      <c r="I2" s="3">
        <v>0.1</v>
      </c>
      <c r="J2" s="3">
        <v>3896.18</v>
      </c>
      <c r="K2" s="3">
        <v>964.48</v>
      </c>
      <c r="L2" s="5" t="s">
        <v>18</v>
      </c>
      <c r="M2" s="3">
        <v>540</v>
      </c>
    </row>
    <row r="3" spans="1:13" x14ac:dyDescent="0.25">
      <c r="A3" s="3" t="s">
        <v>19</v>
      </c>
      <c r="B3" s="4">
        <v>45275</v>
      </c>
      <c r="C3" s="3" t="s">
        <v>20</v>
      </c>
      <c r="D3" s="3" t="s">
        <v>21</v>
      </c>
      <c r="E3" s="3" t="s">
        <v>22</v>
      </c>
      <c r="F3" s="3" t="s">
        <v>23</v>
      </c>
      <c r="G3" s="3">
        <v>7</v>
      </c>
      <c r="H3" s="3">
        <v>1715.07</v>
      </c>
      <c r="I3" s="3">
        <v>0.15</v>
      </c>
      <c r="J3" s="3">
        <v>10204.69</v>
      </c>
      <c r="K3" s="3">
        <v>1354.41</v>
      </c>
      <c r="L3" s="5" t="s">
        <v>24</v>
      </c>
      <c r="M3" s="3">
        <v>316</v>
      </c>
    </row>
    <row r="4" spans="1:13" x14ac:dyDescent="0.25">
      <c r="A4" s="3" t="s">
        <v>25</v>
      </c>
      <c r="B4" s="4">
        <v>45197</v>
      </c>
      <c r="C4" s="3" t="s">
        <v>14</v>
      </c>
      <c r="D4" s="3" t="s">
        <v>21</v>
      </c>
      <c r="E4" s="3" t="s">
        <v>26</v>
      </c>
      <c r="F4" s="3" t="s">
        <v>27</v>
      </c>
      <c r="G4" s="3">
        <v>8</v>
      </c>
      <c r="H4" s="3">
        <v>621.97</v>
      </c>
      <c r="I4" s="3">
        <v>0.1</v>
      </c>
      <c r="J4" s="3">
        <v>4478.1899999999996</v>
      </c>
      <c r="K4" s="3">
        <v>752.58</v>
      </c>
      <c r="L4" s="5" t="s">
        <v>24</v>
      </c>
      <c r="M4" s="3">
        <v>411</v>
      </c>
    </row>
    <row r="5" spans="1:13" x14ac:dyDescent="0.25">
      <c r="A5" s="3" t="s">
        <v>28</v>
      </c>
      <c r="B5" s="4">
        <v>45033</v>
      </c>
      <c r="C5" s="3" t="s">
        <v>29</v>
      </c>
      <c r="D5" s="3" t="s">
        <v>15</v>
      </c>
      <c r="E5" s="3" t="s">
        <v>16</v>
      </c>
      <c r="F5" s="3" t="s">
        <v>30</v>
      </c>
      <c r="G5" s="3">
        <v>5</v>
      </c>
      <c r="H5" s="3">
        <v>1166.43</v>
      </c>
      <c r="I5" s="3">
        <v>0.1</v>
      </c>
      <c r="J5" s="3">
        <v>5248.92</v>
      </c>
      <c r="K5" s="3">
        <v>948.39</v>
      </c>
      <c r="L5" s="5" t="s">
        <v>31</v>
      </c>
      <c r="M5" s="3">
        <v>737</v>
      </c>
    </row>
    <row r="6" spans="1:13" x14ac:dyDescent="0.25">
      <c r="A6" s="3" t="s">
        <v>32</v>
      </c>
      <c r="B6" s="4">
        <v>44998</v>
      </c>
      <c r="C6" s="3" t="s">
        <v>14</v>
      </c>
      <c r="D6" s="3" t="s">
        <v>21</v>
      </c>
      <c r="E6" s="3" t="s">
        <v>26</v>
      </c>
      <c r="F6" s="3" t="s">
        <v>27</v>
      </c>
      <c r="G6" s="3">
        <v>7</v>
      </c>
      <c r="H6" s="3">
        <v>1003.2</v>
      </c>
      <c r="I6" s="3">
        <v>0.2</v>
      </c>
      <c r="J6" s="3">
        <v>5617.94</v>
      </c>
      <c r="K6" s="3">
        <v>995.18</v>
      </c>
      <c r="L6" s="5" t="s">
        <v>18</v>
      </c>
      <c r="M6" s="3">
        <v>225</v>
      </c>
    </row>
    <row r="7" spans="1:13" x14ac:dyDescent="0.25">
      <c r="A7" s="3" t="s">
        <v>33</v>
      </c>
      <c r="B7" s="4">
        <v>45115</v>
      </c>
      <c r="C7" s="3" t="s">
        <v>34</v>
      </c>
      <c r="D7" s="3" t="s">
        <v>15</v>
      </c>
      <c r="E7" s="3" t="s">
        <v>26</v>
      </c>
      <c r="F7" s="3" t="s">
        <v>27</v>
      </c>
      <c r="G7" s="3">
        <v>4</v>
      </c>
      <c r="H7" s="3">
        <v>1891.42</v>
      </c>
      <c r="I7" s="3">
        <v>0.1</v>
      </c>
      <c r="J7" s="3">
        <v>6809.12</v>
      </c>
      <c r="K7" s="3">
        <v>1523.17</v>
      </c>
      <c r="L7" s="5" t="s">
        <v>35</v>
      </c>
      <c r="M7" s="3">
        <v>308</v>
      </c>
    </row>
    <row r="8" spans="1:13" x14ac:dyDescent="0.25">
      <c r="A8" s="3" t="s">
        <v>36</v>
      </c>
      <c r="B8" s="4">
        <v>44947</v>
      </c>
      <c r="C8" s="3" t="s">
        <v>37</v>
      </c>
      <c r="D8" s="3" t="s">
        <v>15</v>
      </c>
      <c r="E8" s="3" t="s">
        <v>22</v>
      </c>
      <c r="F8" s="3" t="s">
        <v>23</v>
      </c>
      <c r="G8" s="3">
        <v>5</v>
      </c>
      <c r="H8" s="3">
        <v>1755.78</v>
      </c>
      <c r="I8" s="3">
        <v>0.15</v>
      </c>
      <c r="J8" s="3">
        <v>7462.04</v>
      </c>
      <c r="K8" s="3">
        <v>780.61</v>
      </c>
      <c r="L8" s="5" t="s">
        <v>24</v>
      </c>
      <c r="M8" s="3">
        <v>329</v>
      </c>
    </row>
    <row r="9" spans="1:13" x14ac:dyDescent="0.25">
      <c r="A9" s="3" t="s">
        <v>38</v>
      </c>
      <c r="B9" s="4">
        <v>45029</v>
      </c>
      <c r="C9" s="3" t="s">
        <v>39</v>
      </c>
      <c r="D9" s="3" t="s">
        <v>40</v>
      </c>
      <c r="E9" s="3" t="s">
        <v>16</v>
      </c>
      <c r="F9" s="3" t="s">
        <v>41</v>
      </c>
      <c r="G9" s="3">
        <v>7</v>
      </c>
      <c r="H9" s="3">
        <v>1802.57</v>
      </c>
      <c r="I9" s="3">
        <v>0</v>
      </c>
      <c r="J9" s="3">
        <v>12618.01</v>
      </c>
      <c r="K9" s="3">
        <v>1489.34</v>
      </c>
      <c r="L9" s="5" t="s">
        <v>35</v>
      </c>
      <c r="M9" s="3">
        <v>290</v>
      </c>
    </row>
    <row r="10" spans="1:13" x14ac:dyDescent="0.25">
      <c r="A10" s="3" t="s">
        <v>42</v>
      </c>
      <c r="B10" s="4">
        <v>45048</v>
      </c>
      <c r="C10" s="3" t="s">
        <v>14</v>
      </c>
      <c r="D10" s="3" t="s">
        <v>43</v>
      </c>
      <c r="E10" s="3" t="s">
        <v>26</v>
      </c>
      <c r="F10" s="3" t="s">
        <v>27</v>
      </c>
      <c r="G10" s="3">
        <v>7</v>
      </c>
      <c r="H10" s="3">
        <v>412.85</v>
      </c>
      <c r="I10" s="3">
        <v>0.1</v>
      </c>
      <c r="J10" s="3">
        <v>2600.9299999999998</v>
      </c>
      <c r="K10" s="3">
        <v>401.46</v>
      </c>
      <c r="L10" s="5" t="s">
        <v>18</v>
      </c>
      <c r="M10" s="3">
        <v>882</v>
      </c>
    </row>
    <row r="11" spans="1:13" x14ac:dyDescent="0.25">
      <c r="A11" s="3" t="s">
        <v>44</v>
      </c>
      <c r="B11" s="4">
        <v>45141</v>
      </c>
      <c r="C11" s="3" t="s">
        <v>45</v>
      </c>
      <c r="D11" s="3" t="s">
        <v>15</v>
      </c>
      <c r="E11" s="3" t="s">
        <v>22</v>
      </c>
      <c r="F11" s="3" t="s">
        <v>46</v>
      </c>
      <c r="G11" s="3">
        <v>6</v>
      </c>
      <c r="H11" s="3">
        <v>515.65</v>
      </c>
      <c r="I11" s="3">
        <v>0</v>
      </c>
      <c r="J11" s="3">
        <v>3093.91</v>
      </c>
      <c r="K11" s="3">
        <v>467.05</v>
      </c>
      <c r="L11" s="5" t="s">
        <v>31</v>
      </c>
      <c r="M11" s="3">
        <v>974</v>
      </c>
    </row>
    <row r="12" spans="1:13" x14ac:dyDescent="0.25">
      <c r="A12" s="3" t="s">
        <v>47</v>
      </c>
      <c r="B12" s="4">
        <v>45257</v>
      </c>
      <c r="C12" s="3" t="s">
        <v>45</v>
      </c>
      <c r="D12" s="3" t="s">
        <v>21</v>
      </c>
      <c r="E12" s="3" t="s">
        <v>22</v>
      </c>
      <c r="F12" s="3" t="s">
        <v>46</v>
      </c>
      <c r="G12" s="3">
        <v>2</v>
      </c>
      <c r="H12" s="3">
        <v>1453.31</v>
      </c>
      <c r="I12" s="3">
        <v>0.2</v>
      </c>
      <c r="J12" s="3">
        <v>2325.3000000000002</v>
      </c>
      <c r="K12" s="3">
        <v>281.85000000000002</v>
      </c>
      <c r="L12" s="5" t="s">
        <v>35</v>
      </c>
      <c r="M12" s="3">
        <v>732</v>
      </c>
    </row>
    <row r="13" spans="1:13" x14ac:dyDescent="0.25">
      <c r="A13" s="3" t="s">
        <v>48</v>
      </c>
      <c r="B13" s="4">
        <v>45014</v>
      </c>
      <c r="C13" s="3" t="s">
        <v>34</v>
      </c>
      <c r="D13" s="3" t="s">
        <v>43</v>
      </c>
      <c r="E13" s="3" t="s">
        <v>22</v>
      </c>
      <c r="F13" s="3" t="s">
        <v>49</v>
      </c>
      <c r="G13" s="3">
        <v>6</v>
      </c>
      <c r="H13" s="3">
        <v>162.80000000000001</v>
      </c>
      <c r="I13" s="3">
        <v>0</v>
      </c>
      <c r="J13" s="3">
        <v>976.78</v>
      </c>
      <c r="K13" s="3">
        <v>203.74</v>
      </c>
      <c r="L13" s="5" t="s">
        <v>31</v>
      </c>
      <c r="M13" s="3">
        <v>741</v>
      </c>
    </row>
    <row r="14" spans="1:13" x14ac:dyDescent="0.25">
      <c r="A14" s="3" t="s">
        <v>50</v>
      </c>
      <c r="B14" s="4">
        <v>45026</v>
      </c>
      <c r="C14" s="3" t="s">
        <v>45</v>
      </c>
      <c r="D14" s="3" t="s">
        <v>21</v>
      </c>
      <c r="E14" s="3" t="s">
        <v>22</v>
      </c>
      <c r="F14" s="3" t="s">
        <v>49</v>
      </c>
      <c r="G14" s="3">
        <v>7</v>
      </c>
      <c r="H14" s="3">
        <v>1377.06</v>
      </c>
      <c r="I14" s="3">
        <v>0.1</v>
      </c>
      <c r="J14" s="3">
        <v>8675.4599999999991</v>
      </c>
      <c r="K14" s="3">
        <v>1235.5</v>
      </c>
      <c r="L14" s="5" t="s">
        <v>24</v>
      </c>
      <c r="M14" s="3">
        <v>754</v>
      </c>
    </row>
    <row r="15" spans="1:13" x14ac:dyDescent="0.25">
      <c r="A15" s="3" t="s">
        <v>51</v>
      </c>
      <c r="B15" s="4">
        <v>45286</v>
      </c>
      <c r="C15" s="3" t="s">
        <v>52</v>
      </c>
      <c r="D15" s="3" t="s">
        <v>40</v>
      </c>
      <c r="E15" s="3" t="s">
        <v>26</v>
      </c>
      <c r="F15" s="3" t="s">
        <v>53</v>
      </c>
      <c r="G15" s="3">
        <v>6</v>
      </c>
      <c r="H15" s="3">
        <v>857.77</v>
      </c>
      <c r="I15" s="3">
        <v>0</v>
      </c>
      <c r="J15" s="3">
        <v>5146.6000000000004</v>
      </c>
      <c r="K15" s="3">
        <v>451.25</v>
      </c>
      <c r="L15" s="5" t="s">
        <v>35</v>
      </c>
      <c r="M15" s="3">
        <v>538</v>
      </c>
    </row>
    <row r="16" spans="1:13" x14ac:dyDescent="0.25">
      <c r="A16" s="3" t="s">
        <v>54</v>
      </c>
      <c r="B16" s="4">
        <v>45078</v>
      </c>
      <c r="C16" s="3" t="s">
        <v>37</v>
      </c>
      <c r="D16" s="3" t="s">
        <v>40</v>
      </c>
      <c r="E16" s="3" t="s">
        <v>16</v>
      </c>
      <c r="F16" s="3" t="s">
        <v>17</v>
      </c>
      <c r="G16" s="3">
        <v>4</v>
      </c>
      <c r="H16" s="3">
        <v>131.52000000000001</v>
      </c>
      <c r="I16" s="3">
        <v>0.1</v>
      </c>
      <c r="J16" s="3">
        <v>473.46</v>
      </c>
      <c r="K16" s="3">
        <v>119.49</v>
      </c>
      <c r="L16" s="5" t="s">
        <v>18</v>
      </c>
      <c r="M16" s="3">
        <v>987</v>
      </c>
    </row>
    <row r="17" spans="1:13" x14ac:dyDescent="0.25">
      <c r="A17" s="3" t="s">
        <v>55</v>
      </c>
      <c r="B17" s="4">
        <v>45057</v>
      </c>
      <c r="C17" s="3" t="s">
        <v>39</v>
      </c>
      <c r="D17" s="3" t="s">
        <v>43</v>
      </c>
      <c r="E17" s="3" t="s">
        <v>26</v>
      </c>
      <c r="F17" s="3" t="s">
        <v>56</v>
      </c>
      <c r="G17" s="3">
        <v>8</v>
      </c>
      <c r="H17" s="3">
        <v>834.8</v>
      </c>
      <c r="I17" s="3">
        <v>0.05</v>
      </c>
      <c r="J17" s="3">
        <v>6344.46</v>
      </c>
      <c r="K17" s="3">
        <v>1645.93</v>
      </c>
      <c r="L17" s="5" t="s">
        <v>24</v>
      </c>
      <c r="M17" s="3">
        <v>361</v>
      </c>
    </row>
    <row r="18" spans="1:13" x14ac:dyDescent="0.25">
      <c r="A18" s="3" t="s">
        <v>57</v>
      </c>
      <c r="B18" s="4">
        <v>45076</v>
      </c>
      <c r="C18" s="3" t="s">
        <v>37</v>
      </c>
      <c r="D18" s="3" t="s">
        <v>40</v>
      </c>
      <c r="E18" s="3" t="s">
        <v>16</v>
      </c>
      <c r="F18" s="3" t="s">
        <v>17</v>
      </c>
      <c r="G18" s="3">
        <v>3</v>
      </c>
      <c r="H18" s="3">
        <v>534.25</v>
      </c>
      <c r="I18" s="3">
        <v>0.05</v>
      </c>
      <c r="J18" s="3">
        <v>1522.6</v>
      </c>
      <c r="K18" s="3">
        <v>449.99</v>
      </c>
      <c r="L18" s="5" t="s">
        <v>35</v>
      </c>
      <c r="M18" s="3">
        <v>459</v>
      </c>
    </row>
    <row r="19" spans="1:13" x14ac:dyDescent="0.25">
      <c r="A19" s="3" t="s">
        <v>58</v>
      </c>
      <c r="B19" s="4">
        <v>45235</v>
      </c>
      <c r="C19" s="3" t="s">
        <v>39</v>
      </c>
      <c r="D19" s="3" t="s">
        <v>21</v>
      </c>
      <c r="E19" s="3" t="s">
        <v>22</v>
      </c>
      <c r="F19" s="3" t="s">
        <v>23</v>
      </c>
      <c r="G19" s="3">
        <v>5</v>
      </c>
      <c r="H19" s="3">
        <v>1810.79</v>
      </c>
      <c r="I19" s="3">
        <v>0.1</v>
      </c>
      <c r="J19" s="3">
        <v>8148.57</v>
      </c>
      <c r="K19" s="3">
        <v>791.85</v>
      </c>
      <c r="L19" s="5" t="s">
        <v>18</v>
      </c>
      <c r="M19" s="3">
        <v>929</v>
      </c>
    </row>
    <row r="20" spans="1:13" x14ac:dyDescent="0.25">
      <c r="A20" s="3" t="s">
        <v>59</v>
      </c>
      <c r="B20" s="4">
        <v>45184</v>
      </c>
      <c r="C20" s="3" t="s">
        <v>60</v>
      </c>
      <c r="D20" s="3" t="s">
        <v>40</v>
      </c>
      <c r="E20" s="3" t="s">
        <v>16</v>
      </c>
      <c r="F20" s="3" t="s">
        <v>41</v>
      </c>
      <c r="G20" s="3">
        <v>8</v>
      </c>
      <c r="H20" s="3">
        <v>1786.76</v>
      </c>
      <c r="I20" s="3">
        <v>0.15</v>
      </c>
      <c r="J20" s="3">
        <v>12149.99</v>
      </c>
      <c r="K20" s="3">
        <v>863.07</v>
      </c>
      <c r="L20" s="5" t="s">
        <v>24</v>
      </c>
      <c r="M20" s="3">
        <v>546</v>
      </c>
    </row>
    <row r="21" spans="1:13" x14ac:dyDescent="0.25">
      <c r="A21" s="3" t="s">
        <v>61</v>
      </c>
      <c r="B21" s="4">
        <v>45270</v>
      </c>
      <c r="C21" s="3" t="s">
        <v>34</v>
      </c>
      <c r="D21" s="3" t="s">
        <v>15</v>
      </c>
      <c r="E21" s="3" t="s">
        <v>22</v>
      </c>
      <c r="F21" s="3" t="s">
        <v>46</v>
      </c>
      <c r="G21" s="3">
        <v>9</v>
      </c>
      <c r="H21" s="3">
        <v>1360.65</v>
      </c>
      <c r="I21" s="3">
        <v>0.2</v>
      </c>
      <c r="J21" s="3">
        <v>9796.7000000000007</v>
      </c>
      <c r="K21" s="3">
        <v>1185.21</v>
      </c>
      <c r="L21" s="5" t="s">
        <v>24</v>
      </c>
      <c r="M21" s="3">
        <v>652</v>
      </c>
    </row>
    <row r="22" spans="1:13" x14ac:dyDescent="0.25">
      <c r="A22" s="3" t="s">
        <v>62</v>
      </c>
      <c r="B22" s="4">
        <v>45220</v>
      </c>
      <c r="C22" s="3" t="s">
        <v>14</v>
      </c>
      <c r="D22" s="3" t="s">
        <v>40</v>
      </c>
      <c r="E22" s="3" t="s">
        <v>16</v>
      </c>
      <c r="F22" s="3" t="s">
        <v>30</v>
      </c>
      <c r="G22" s="3">
        <v>9</v>
      </c>
      <c r="H22" s="3">
        <v>434.26</v>
      </c>
      <c r="I22" s="3">
        <v>0.15</v>
      </c>
      <c r="J22" s="3">
        <v>3322.07</v>
      </c>
      <c r="K22" s="3">
        <v>363.14</v>
      </c>
      <c r="L22" s="5" t="s">
        <v>31</v>
      </c>
      <c r="M22" s="3">
        <v>347</v>
      </c>
    </row>
    <row r="23" spans="1:13" x14ac:dyDescent="0.25">
      <c r="A23" s="3" t="s">
        <v>63</v>
      </c>
      <c r="B23" s="4">
        <v>45118</v>
      </c>
      <c r="C23" s="3" t="s">
        <v>52</v>
      </c>
      <c r="D23" s="3" t="s">
        <v>21</v>
      </c>
      <c r="E23" s="3" t="s">
        <v>16</v>
      </c>
      <c r="F23" s="3" t="s">
        <v>17</v>
      </c>
      <c r="G23" s="3">
        <v>1</v>
      </c>
      <c r="H23" s="3">
        <v>685.32</v>
      </c>
      <c r="I23" s="3">
        <v>0.15</v>
      </c>
      <c r="J23" s="3">
        <v>582.52</v>
      </c>
      <c r="K23" s="3">
        <v>103.22</v>
      </c>
      <c r="L23" s="5" t="s">
        <v>24</v>
      </c>
      <c r="M23" s="3">
        <v>238</v>
      </c>
    </row>
    <row r="24" spans="1:13" x14ac:dyDescent="0.25">
      <c r="A24" s="3" t="s">
        <v>64</v>
      </c>
      <c r="B24" s="4">
        <v>45203</v>
      </c>
      <c r="C24" s="3" t="s">
        <v>34</v>
      </c>
      <c r="D24" s="3" t="s">
        <v>43</v>
      </c>
      <c r="E24" s="3" t="s">
        <v>22</v>
      </c>
      <c r="F24" s="3" t="s">
        <v>49</v>
      </c>
      <c r="G24" s="3">
        <v>6</v>
      </c>
      <c r="H24" s="3">
        <v>1959.9</v>
      </c>
      <c r="I24" s="3">
        <v>0.1</v>
      </c>
      <c r="J24" s="3">
        <v>10583.44</v>
      </c>
      <c r="K24" s="3">
        <v>2889.4</v>
      </c>
      <c r="L24" s="5" t="s">
        <v>24</v>
      </c>
      <c r="M24" s="3">
        <v>360</v>
      </c>
    </row>
    <row r="25" spans="1:13" x14ac:dyDescent="0.25">
      <c r="A25" s="3" t="s">
        <v>65</v>
      </c>
      <c r="B25" s="4">
        <v>45087</v>
      </c>
      <c r="C25" s="3" t="s">
        <v>37</v>
      </c>
      <c r="D25" s="3" t="s">
        <v>21</v>
      </c>
      <c r="E25" s="3" t="s">
        <v>26</v>
      </c>
      <c r="F25" s="3" t="s">
        <v>27</v>
      </c>
      <c r="G25" s="3">
        <v>1</v>
      </c>
      <c r="H25" s="3">
        <v>470.96</v>
      </c>
      <c r="I25" s="3">
        <v>0.2</v>
      </c>
      <c r="J25" s="3">
        <v>376.77</v>
      </c>
      <c r="K25" s="3">
        <v>65.86</v>
      </c>
      <c r="L25" s="5" t="s">
        <v>31</v>
      </c>
      <c r="M25" s="3">
        <v>503</v>
      </c>
    </row>
    <row r="26" spans="1:13" x14ac:dyDescent="0.25">
      <c r="A26" s="3" t="s">
        <v>66</v>
      </c>
      <c r="B26" s="4">
        <v>45240</v>
      </c>
      <c r="C26" s="3" t="s">
        <v>60</v>
      </c>
      <c r="D26" s="3" t="s">
        <v>43</v>
      </c>
      <c r="E26" s="3" t="s">
        <v>26</v>
      </c>
      <c r="F26" s="3" t="s">
        <v>56</v>
      </c>
      <c r="G26" s="3">
        <v>5</v>
      </c>
      <c r="H26" s="3">
        <v>1778.64</v>
      </c>
      <c r="I26" s="3">
        <v>0.15</v>
      </c>
      <c r="J26" s="3">
        <v>7559.21</v>
      </c>
      <c r="K26" s="3">
        <v>407.17</v>
      </c>
      <c r="L26" s="5" t="s">
        <v>35</v>
      </c>
      <c r="M26" s="3">
        <v>500</v>
      </c>
    </row>
    <row r="27" spans="1:13" x14ac:dyDescent="0.25">
      <c r="A27" s="3" t="s">
        <v>67</v>
      </c>
      <c r="B27" s="4">
        <v>44948</v>
      </c>
      <c r="C27" s="3" t="s">
        <v>14</v>
      </c>
      <c r="D27" s="3" t="s">
        <v>40</v>
      </c>
      <c r="E27" s="3" t="s">
        <v>22</v>
      </c>
      <c r="F27" s="3" t="s">
        <v>23</v>
      </c>
      <c r="G27" s="3">
        <v>3</v>
      </c>
      <c r="H27" s="3">
        <v>1962.63</v>
      </c>
      <c r="I27" s="3">
        <v>0.15</v>
      </c>
      <c r="J27" s="3">
        <v>5004.71</v>
      </c>
      <c r="K27" s="3">
        <v>618.64</v>
      </c>
      <c r="L27" s="5" t="s">
        <v>18</v>
      </c>
      <c r="M27" s="3">
        <v>395</v>
      </c>
    </row>
    <row r="28" spans="1:13" x14ac:dyDescent="0.25">
      <c r="A28" s="3" t="s">
        <v>68</v>
      </c>
      <c r="B28" s="4">
        <v>45179</v>
      </c>
      <c r="C28" s="3" t="s">
        <v>60</v>
      </c>
      <c r="D28" s="3" t="s">
        <v>15</v>
      </c>
      <c r="E28" s="3" t="s">
        <v>26</v>
      </c>
      <c r="F28" s="3" t="s">
        <v>27</v>
      </c>
      <c r="G28" s="3">
        <v>2</v>
      </c>
      <c r="H28" s="3">
        <v>1157.92</v>
      </c>
      <c r="I28" s="3">
        <v>0.05</v>
      </c>
      <c r="J28" s="3">
        <v>2200.0500000000002</v>
      </c>
      <c r="K28" s="3">
        <v>621.52</v>
      </c>
      <c r="L28" s="5" t="s">
        <v>31</v>
      </c>
      <c r="M28" s="3">
        <v>900</v>
      </c>
    </row>
    <row r="29" spans="1:13" x14ac:dyDescent="0.25">
      <c r="A29" s="3" t="s">
        <v>69</v>
      </c>
      <c r="B29" s="4">
        <v>45162</v>
      </c>
      <c r="C29" s="3" t="s">
        <v>29</v>
      </c>
      <c r="D29" s="3" t="s">
        <v>43</v>
      </c>
      <c r="E29" s="3" t="s">
        <v>16</v>
      </c>
      <c r="F29" s="3" t="s">
        <v>41</v>
      </c>
      <c r="G29" s="3">
        <v>7</v>
      </c>
      <c r="H29" s="3">
        <v>366.16</v>
      </c>
      <c r="I29" s="3">
        <v>0.1</v>
      </c>
      <c r="J29" s="3">
        <v>2306.81</v>
      </c>
      <c r="K29" s="3">
        <v>285.63</v>
      </c>
      <c r="L29" s="5" t="s">
        <v>31</v>
      </c>
      <c r="M29" s="3">
        <v>862</v>
      </c>
    </row>
    <row r="30" spans="1:13" x14ac:dyDescent="0.25">
      <c r="A30" s="3" t="s">
        <v>70</v>
      </c>
      <c r="B30" s="4">
        <v>45271</v>
      </c>
      <c r="C30" s="3" t="s">
        <v>29</v>
      </c>
      <c r="D30" s="3" t="s">
        <v>21</v>
      </c>
      <c r="E30" s="3" t="s">
        <v>26</v>
      </c>
      <c r="F30" s="3" t="s">
        <v>56</v>
      </c>
      <c r="G30" s="3">
        <v>6</v>
      </c>
      <c r="H30" s="3">
        <v>783.03</v>
      </c>
      <c r="I30" s="3">
        <v>0.2</v>
      </c>
      <c r="J30" s="3">
        <v>3758.56</v>
      </c>
      <c r="K30" s="3">
        <v>466.54</v>
      </c>
      <c r="L30" s="5" t="s">
        <v>24</v>
      </c>
      <c r="M30" s="3">
        <v>862</v>
      </c>
    </row>
    <row r="31" spans="1:13" x14ac:dyDescent="0.25">
      <c r="A31" s="3" t="s">
        <v>71</v>
      </c>
      <c r="B31" s="4">
        <v>44975</v>
      </c>
      <c r="C31" s="3" t="s">
        <v>60</v>
      </c>
      <c r="D31" s="3" t="s">
        <v>40</v>
      </c>
      <c r="E31" s="3" t="s">
        <v>26</v>
      </c>
      <c r="F31" s="3" t="s">
        <v>56</v>
      </c>
      <c r="G31" s="3">
        <v>7</v>
      </c>
      <c r="H31" s="3">
        <v>1052.8800000000001</v>
      </c>
      <c r="I31" s="3">
        <v>0.2</v>
      </c>
      <c r="J31" s="3">
        <v>5896.13</v>
      </c>
      <c r="K31" s="3">
        <v>581.16999999999996</v>
      </c>
      <c r="L31" s="5" t="s">
        <v>24</v>
      </c>
      <c r="M31" s="3">
        <v>285</v>
      </c>
    </row>
    <row r="32" spans="1:13" x14ac:dyDescent="0.25">
      <c r="A32" s="3" t="s">
        <v>72</v>
      </c>
      <c r="B32" s="4">
        <v>44985</v>
      </c>
      <c r="C32" s="3" t="s">
        <v>20</v>
      </c>
      <c r="D32" s="3" t="s">
        <v>21</v>
      </c>
      <c r="E32" s="3" t="s">
        <v>22</v>
      </c>
      <c r="F32" s="3" t="s">
        <v>46</v>
      </c>
      <c r="G32" s="3">
        <v>7</v>
      </c>
      <c r="H32" s="3">
        <v>152.47</v>
      </c>
      <c r="I32" s="3">
        <v>0.05</v>
      </c>
      <c r="J32" s="3">
        <v>1013.94</v>
      </c>
      <c r="K32" s="3">
        <v>74.52</v>
      </c>
      <c r="L32" s="5" t="s">
        <v>24</v>
      </c>
      <c r="M32" s="3">
        <v>282</v>
      </c>
    </row>
    <row r="33" spans="1:13" x14ac:dyDescent="0.25">
      <c r="A33" s="3" t="s">
        <v>73</v>
      </c>
      <c r="B33" s="4">
        <v>45096</v>
      </c>
      <c r="C33" s="3" t="s">
        <v>52</v>
      </c>
      <c r="D33" s="3" t="s">
        <v>21</v>
      </c>
      <c r="E33" s="3" t="s">
        <v>16</v>
      </c>
      <c r="F33" s="3" t="s">
        <v>30</v>
      </c>
      <c r="G33" s="3">
        <v>6</v>
      </c>
      <c r="H33" s="3">
        <v>1222.58</v>
      </c>
      <c r="I33" s="3">
        <v>0</v>
      </c>
      <c r="J33" s="3">
        <v>7335.5</v>
      </c>
      <c r="K33" s="3">
        <v>435.27</v>
      </c>
      <c r="L33" s="5" t="s">
        <v>24</v>
      </c>
      <c r="M33" s="3">
        <v>370</v>
      </c>
    </row>
    <row r="34" spans="1:13" x14ac:dyDescent="0.25">
      <c r="A34" s="3" t="s">
        <v>74</v>
      </c>
      <c r="B34" s="4">
        <v>45114</v>
      </c>
      <c r="C34" s="3" t="s">
        <v>14</v>
      </c>
      <c r="D34" s="3" t="s">
        <v>21</v>
      </c>
      <c r="E34" s="3" t="s">
        <v>16</v>
      </c>
      <c r="F34" s="3" t="s">
        <v>30</v>
      </c>
      <c r="G34" s="3">
        <v>1</v>
      </c>
      <c r="H34" s="3">
        <v>1672.95</v>
      </c>
      <c r="I34" s="3">
        <v>0.15</v>
      </c>
      <c r="J34" s="3">
        <v>1422.01</v>
      </c>
      <c r="K34" s="3">
        <v>147.83000000000001</v>
      </c>
      <c r="L34" s="5" t="s">
        <v>31</v>
      </c>
      <c r="M34" s="3">
        <v>754</v>
      </c>
    </row>
    <row r="35" spans="1:13" x14ac:dyDescent="0.25">
      <c r="A35" s="3" t="s">
        <v>75</v>
      </c>
      <c r="B35" s="4">
        <v>45197</v>
      </c>
      <c r="C35" s="3" t="s">
        <v>37</v>
      </c>
      <c r="D35" s="3" t="s">
        <v>40</v>
      </c>
      <c r="E35" s="3" t="s">
        <v>22</v>
      </c>
      <c r="F35" s="3" t="s">
        <v>23</v>
      </c>
      <c r="G35" s="3">
        <v>4</v>
      </c>
      <c r="H35" s="3">
        <v>881.57</v>
      </c>
      <c r="I35" s="3">
        <v>0.1</v>
      </c>
      <c r="J35" s="3">
        <v>3173.66</v>
      </c>
      <c r="K35" s="3">
        <v>664.43</v>
      </c>
      <c r="L35" s="5" t="s">
        <v>35</v>
      </c>
      <c r="M35" s="3">
        <v>586</v>
      </c>
    </row>
    <row r="36" spans="1:13" x14ac:dyDescent="0.25">
      <c r="A36" s="3" t="s">
        <v>76</v>
      </c>
      <c r="B36" s="4">
        <v>45116</v>
      </c>
      <c r="C36" s="3" t="s">
        <v>20</v>
      </c>
      <c r="D36" s="3" t="s">
        <v>15</v>
      </c>
      <c r="E36" s="3" t="s">
        <v>22</v>
      </c>
      <c r="F36" s="3" t="s">
        <v>49</v>
      </c>
      <c r="G36" s="3">
        <v>3</v>
      </c>
      <c r="H36" s="3">
        <v>1610.85</v>
      </c>
      <c r="I36" s="3">
        <v>0.1</v>
      </c>
      <c r="J36" s="3">
        <v>4349.3100000000004</v>
      </c>
      <c r="K36" s="3">
        <v>694.77</v>
      </c>
      <c r="L36" s="5" t="s">
        <v>35</v>
      </c>
      <c r="M36" s="3">
        <v>480</v>
      </c>
    </row>
    <row r="37" spans="1:13" x14ac:dyDescent="0.25">
      <c r="A37" s="3" t="s">
        <v>77</v>
      </c>
      <c r="B37" s="4">
        <v>45101</v>
      </c>
      <c r="C37" s="3" t="s">
        <v>29</v>
      </c>
      <c r="D37" s="3" t="s">
        <v>15</v>
      </c>
      <c r="E37" s="3" t="s">
        <v>22</v>
      </c>
      <c r="F37" s="3" t="s">
        <v>23</v>
      </c>
      <c r="G37" s="3">
        <v>7</v>
      </c>
      <c r="H37" s="3">
        <v>913.8</v>
      </c>
      <c r="I37" s="3">
        <v>0.15</v>
      </c>
      <c r="J37" s="3">
        <v>5437.1</v>
      </c>
      <c r="K37" s="3">
        <v>827.73</v>
      </c>
      <c r="L37" s="5" t="s">
        <v>35</v>
      </c>
      <c r="M37" s="3">
        <v>237</v>
      </c>
    </row>
    <row r="38" spans="1:13" x14ac:dyDescent="0.25">
      <c r="A38" s="3" t="s">
        <v>78</v>
      </c>
      <c r="B38" s="4">
        <v>44977</v>
      </c>
      <c r="C38" s="3" t="s">
        <v>20</v>
      </c>
      <c r="D38" s="3" t="s">
        <v>40</v>
      </c>
      <c r="E38" s="3" t="s">
        <v>16</v>
      </c>
      <c r="F38" s="3" t="s">
        <v>41</v>
      </c>
      <c r="G38" s="3">
        <v>6</v>
      </c>
      <c r="H38" s="3">
        <v>1457.73</v>
      </c>
      <c r="I38" s="3">
        <v>0.2</v>
      </c>
      <c r="J38" s="3">
        <v>6997.11</v>
      </c>
      <c r="K38" s="3">
        <v>839.54</v>
      </c>
      <c r="L38" s="5" t="s">
        <v>18</v>
      </c>
      <c r="M38" s="3">
        <v>588</v>
      </c>
    </row>
    <row r="39" spans="1:13" x14ac:dyDescent="0.25">
      <c r="A39" s="3" t="s">
        <v>79</v>
      </c>
      <c r="B39" s="4">
        <v>45290</v>
      </c>
      <c r="C39" s="3" t="s">
        <v>14</v>
      </c>
      <c r="D39" s="3" t="s">
        <v>15</v>
      </c>
      <c r="E39" s="3" t="s">
        <v>26</v>
      </c>
      <c r="F39" s="3" t="s">
        <v>53</v>
      </c>
      <c r="G39" s="3">
        <v>7</v>
      </c>
      <c r="H39" s="3">
        <v>190.66</v>
      </c>
      <c r="I39" s="3">
        <v>0.05</v>
      </c>
      <c r="J39" s="3">
        <v>1267.8900000000001</v>
      </c>
      <c r="K39" s="3">
        <v>176.23</v>
      </c>
      <c r="L39" s="5" t="s">
        <v>35</v>
      </c>
      <c r="M39" s="3">
        <v>866</v>
      </c>
    </row>
    <row r="40" spans="1:13" x14ac:dyDescent="0.25">
      <c r="A40" s="3" t="s">
        <v>80</v>
      </c>
      <c r="B40" s="4">
        <v>44981</v>
      </c>
      <c r="C40" s="3" t="s">
        <v>29</v>
      </c>
      <c r="D40" s="3" t="s">
        <v>15</v>
      </c>
      <c r="E40" s="3" t="s">
        <v>26</v>
      </c>
      <c r="F40" s="3" t="s">
        <v>53</v>
      </c>
      <c r="G40" s="3">
        <v>5</v>
      </c>
      <c r="H40" s="3">
        <v>278.89999999999998</v>
      </c>
      <c r="I40" s="3">
        <v>0.15</v>
      </c>
      <c r="J40" s="3">
        <v>1185.32</v>
      </c>
      <c r="K40" s="3">
        <v>111.22</v>
      </c>
      <c r="L40" s="5" t="s">
        <v>31</v>
      </c>
      <c r="M40" s="3">
        <v>206</v>
      </c>
    </row>
    <row r="41" spans="1:13" x14ac:dyDescent="0.25">
      <c r="A41" s="3" t="s">
        <v>81</v>
      </c>
      <c r="B41" s="4">
        <v>45170</v>
      </c>
      <c r="C41" s="3" t="s">
        <v>29</v>
      </c>
      <c r="D41" s="3" t="s">
        <v>15</v>
      </c>
      <c r="E41" s="3" t="s">
        <v>26</v>
      </c>
      <c r="F41" s="3" t="s">
        <v>27</v>
      </c>
      <c r="G41" s="3">
        <v>4</v>
      </c>
      <c r="H41" s="3">
        <v>429.08</v>
      </c>
      <c r="I41" s="3">
        <v>0.2</v>
      </c>
      <c r="J41" s="3">
        <v>1373.07</v>
      </c>
      <c r="K41" s="3">
        <v>205.45</v>
      </c>
      <c r="L41" s="5" t="s">
        <v>35</v>
      </c>
      <c r="M41" s="3">
        <v>980</v>
      </c>
    </row>
    <row r="42" spans="1:13" x14ac:dyDescent="0.25">
      <c r="A42" s="3" t="s">
        <v>82</v>
      </c>
      <c r="B42" s="4">
        <v>45246</v>
      </c>
      <c r="C42" s="3" t="s">
        <v>37</v>
      </c>
      <c r="D42" s="3" t="s">
        <v>40</v>
      </c>
      <c r="E42" s="3" t="s">
        <v>22</v>
      </c>
      <c r="F42" s="3" t="s">
        <v>46</v>
      </c>
      <c r="G42" s="3">
        <v>3</v>
      </c>
      <c r="H42" s="3">
        <v>1055.96</v>
      </c>
      <c r="I42" s="3">
        <v>0</v>
      </c>
      <c r="J42" s="3">
        <v>3167.88</v>
      </c>
      <c r="K42" s="3">
        <v>585.55999999999995</v>
      </c>
      <c r="L42" s="5" t="s">
        <v>31</v>
      </c>
      <c r="M42" s="3">
        <v>331</v>
      </c>
    </row>
    <row r="43" spans="1:13" x14ac:dyDescent="0.25">
      <c r="A43" s="3" t="s">
        <v>83</v>
      </c>
      <c r="B43" s="4">
        <v>45057</v>
      </c>
      <c r="C43" s="3" t="s">
        <v>34</v>
      </c>
      <c r="D43" s="3" t="s">
        <v>21</v>
      </c>
      <c r="E43" s="3" t="s">
        <v>16</v>
      </c>
      <c r="F43" s="3" t="s">
        <v>41</v>
      </c>
      <c r="G43" s="3">
        <v>1</v>
      </c>
      <c r="H43" s="3">
        <v>1747.68</v>
      </c>
      <c r="I43" s="3">
        <v>0.1</v>
      </c>
      <c r="J43" s="3">
        <v>1572.91</v>
      </c>
      <c r="K43" s="3">
        <v>393.6</v>
      </c>
      <c r="L43" s="5" t="s">
        <v>31</v>
      </c>
      <c r="M43" s="3">
        <v>625</v>
      </c>
    </row>
    <row r="44" spans="1:13" x14ac:dyDescent="0.25">
      <c r="A44" s="3" t="s">
        <v>84</v>
      </c>
      <c r="B44" s="4">
        <v>45233</v>
      </c>
      <c r="C44" s="3" t="s">
        <v>45</v>
      </c>
      <c r="D44" s="3" t="s">
        <v>40</v>
      </c>
      <c r="E44" s="3" t="s">
        <v>26</v>
      </c>
      <c r="F44" s="3" t="s">
        <v>56</v>
      </c>
      <c r="G44" s="3">
        <v>3</v>
      </c>
      <c r="H44" s="3">
        <v>1659.22</v>
      </c>
      <c r="I44" s="3">
        <v>0.15</v>
      </c>
      <c r="J44" s="3">
        <v>4231</v>
      </c>
      <c r="K44" s="3">
        <v>619.95000000000005</v>
      </c>
      <c r="L44" s="5" t="s">
        <v>24</v>
      </c>
      <c r="M44" s="3">
        <v>497</v>
      </c>
    </row>
    <row r="45" spans="1:13" x14ac:dyDescent="0.25">
      <c r="A45" s="3" t="s">
        <v>85</v>
      </c>
      <c r="B45" s="4">
        <v>45061</v>
      </c>
      <c r="C45" s="3" t="s">
        <v>45</v>
      </c>
      <c r="D45" s="3" t="s">
        <v>15</v>
      </c>
      <c r="E45" s="3" t="s">
        <v>16</v>
      </c>
      <c r="F45" s="3" t="s">
        <v>30</v>
      </c>
      <c r="G45" s="3">
        <v>2</v>
      </c>
      <c r="H45" s="3">
        <v>174.03</v>
      </c>
      <c r="I45" s="3">
        <v>0.05</v>
      </c>
      <c r="J45" s="3">
        <v>330.66</v>
      </c>
      <c r="K45" s="3">
        <v>72.989999999999995</v>
      </c>
      <c r="L45" s="5" t="s">
        <v>31</v>
      </c>
      <c r="M45" s="3">
        <v>674</v>
      </c>
    </row>
    <row r="46" spans="1:13" x14ac:dyDescent="0.25">
      <c r="A46" s="3" t="s">
        <v>86</v>
      </c>
      <c r="B46" s="4">
        <v>44947</v>
      </c>
      <c r="C46" s="3" t="s">
        <v>34</v>
      </c>
      <c r="D46" s="3" t="s">
        <v>43</v>
      </c>
      <c r="E46" s="3" t="s">
        <v>26</v>
      </c>
      <c r="F46" s="3" t="s">
        <v>53</v>
      </c>
      <c r="G46" s="3">
        <v>2</v>
      </c>
      <c r="H46" s="3">
        <v>595.32000000000005</v>
      </c>
      <c r="I46" s="3">
        <v>0.15</v>
      </c>
      <c r="J46" s="3">
        <v>1012.04</v>
      </c>
      <c r="K46" s="3">
        <v>225.91</v>
      </c>
      <c r="L46" s="5" t="s">
        <v>18</v>
      </c>
      <c r="M46" s="3">
        <v>421</v>
      </c>
    </row>
    <row r="47" spans="1:13" x14ac:dyDescent="0.25">
      <c r="A47" s="3" t="s">
        <v>87</v>
      </c>
      <c r="B47" s="4">
        <v>45255</v>
      </c>
      <c r="C47" s="3" t="s">
        <v>39</v>
      </c>
      <c r="D47" s="3" t="s">
        <v>40</v>
      </c>
      <c r="E47" s="3" t="s">
        <v>26</v>
      </c>
      <c r="F47" s="3" t="s">
        <v>56</v>
      </c>
      <c r="G47" s="3">
        <v>5</v>
      </c>
      <c r="H47" s="3">
        <v>1938.4</v>
      </c>
      <c r="I47" s="3">
        <v>0.15</v>
      </c>
      <c r="J47" s="3">
        <v>8238.2099999999991</v>
      </c>
      <c r="K47" s="3">
        <v>777.36</v>
      </c>
      <c r="L47" s="5" t="s">
        <v>31</v>
      </c>
      <c r="M47" s="3">
        <v>837</v>
      </c>
    </row>
    <row r="48" spans="1:13" x14ac:dyDescent="0.25">
      <c r="A48" s="3" t="s">
        <v>88</v>
      </c>
      <c r="B48" s="4">
        <v>45093</v>
      </c>
      <c r="C48" s="3" t="s">
        <v>60</v>
      </c>
      <c r="D48" s="3" t="s">
        <v>21</v>
      </c>
      <c r="E48" s="3" t="s">
        <v>16</v>
      </c>
      <c r="F48" s="3" t="s">
        <v>30</v>
      </c>
      <c r="G48" s="3">
        <v>3</v>
      </c>
      <c r="H48" s="3">
        <v>883.97</v>
      </c>
      <c r="I48" s="3">
        <v>0.05</v>
      </c>
      <c r="J48" s="3">
        <v>2519.3200000000002</v>
      </c>
      <c r="K48" s="3">
        <v>283.43</v>
      </c>
      <c r="L48" s="5" t="s">
        <v>24</v>
      </c>
      <c r="M48" s="3">
        <v>369</v>
      </c>
    </row>
    <row r="49" spans="1:13" x14ac:dyDescent="0.25">
      <c r="A49" s="3" t="s">
        <v>89</v>
      </c>
      <c r="B49" s="4">
        <v>45200</v>
      </c>
      <c r="C49" s="3" t="s">
        <v>45</v>
      </c>
      <c r="D49" s="3" t="s">
        <v>43</v>
      </c>
      <c r="E49" s="3" t="s">
        <v>26</v>
      </c>
      <c r="F49" s="3" t="s">
        <v>56</v>
      </c>
      <c r="G49" s="3">
        <v>7</v>
      </c>
      <c r="H49" s="3">
        <v>1526.66</v>
      </c>
      <c r="I49" s="3">
        <v>0</v>
      </c>
      <c r="J49" s="3">
        <v>10686.59</v>
      </c>
      <c r="K49" s="3">
        <v>1170.81</v>
      </c>
      <c r="L49" s="5" t="s">
        <v>24</v>
      </c>
      <c r="M49" s="3">
        <v>806</v>
      </c>
    </row>
    <row r="50" spans="1:13" x14ac:dyDescent="0.25">
      <c r="A50" s="3" t="s">
        <v>90</v>
      </c>
      <c r="B50" s="4">
        <v>45015</v>
      </c>
      <c r="C50" s="3" t="s">
        <v>91</v>
      </c>
      <c r="D50" s="3" t="s">
        <v>40</v>
      </c>
      <c r="E50" s="3" t="s">
        <v>26</v>
      </c>
      <c r="F50" s="3" t="s">
        <v>53</v>
      </c>
      <c r="G50" s="3">
        <v>3</v>
      </c>
      <c r="H50" s="3">
        <v>839.48</v>
      </c>
      <c r="I50" s="3">
        <v>0.15</v>
      </c>
      <c r="J50" s="3">
        <v>2140.6799999999998</v>
      </c>
      <c r="K50" s="3">
        <v>620.02</v>
      </c>
      <c r="L50" s="5" t="s">
        <v>35</v>
      </c>
      <c r="M50" s="3">
        <v>150</v>
      </c>
    </row>
    <row r="51" spans="1:13" x14ac:dyDescent="0.25">
      <c r="A51" s="3" t="s">
        <v>92</v>
      </c>
      <c r="B51" s="4">
        <v>45242</v>
      </c>
      <c r="C51" s="3" t="s">
        <v>39</v>
      </c>
      <c r="D51" s="3" t="s">
        <v>40</v>
      </c>
      <c r="E51" s="3" t="s">
        <v>16</v>
      </c>
      <c r="F51" s="3" t="s">
        <v>41</v>
      </c>
      <c r="G51" s="3">
        <v>4</v>
      </c>
      <c r="H51" s="3">
        <v>1189.53</v>
      </c>
      <c r="I51" s="3">
        <v>0.2</v>
      </c>
      <c r="J51" s="3">
        <v>3806.5</v>
      </c>
      <c r="K51" s="3">
        <v>277.58999999999997</v>
      </c>
      <c r="L51" s="5" t="s">
        <v>18</v>
      </c>
      <c r="M51" s="3">
        <v>824</v>
      </c>
    </row>
    <row r="52" spans="1:13" x14ac:dyDescent="0.25">
      <c r="A52" s="3" t="s">
        <v>93</v>
      </c>
      <c r="B52" s="4">
        <v>44940</v>
      </c>
      <c r="C52" s="3" t="s">
        <v>29</v>
      </c>
      <c r="D52" s="3" t="s">
        <v>21</v>
      </c>
      <c r="E52" s="3" t="s">
        <v>26</v>
      </c>
      <c r="F52" s="3" t="s">
        <v>56</v>
      </c>
      <c r="G52" s="3">
        <v>7</v>
      </c>
      <c r="H52" s="3">
        <v>1584.46</v>
      </c>
      <c r="I52" s="3">
        <v>0.2</v>
      </c>
      <c r="J52" s="3">
        <v>8872.99</v>
      </c>
      <c r="K52" s="3">
        <v>2508.6799999999998</v>
      </c>
      <c r="L52" s="5" t="s">
        <v>24</v>
      </c>
      <c r="M52" s="3">
        <v>466</v>
      </c>
    </row>
    <row r="53" spans="1:13" x14ac:dyDescent="0.25">
      <c r="A53" s="3" t="s">
        <v>94</v>
      </c>
      <c r="B53" s="4">
        <v>45168</v>
      </c>
      <c r="C53" s="3" t="s">
        <v>34</v>
      </c>
      <c r="D53" s="3" t="s">
        <v>21</v>
      </c>
      <c r="E53" s="3" t="s">
        <v>16</v>
      </c>
      <c r="F53" s="3" t="s">
        <v>41</v>
      </c>
      <c r="G53" s="3">
        <v>5</v>
      </c>
      <c r="H53" s="3">
        <v>1500.37</v>
      </c>
      <c r="I53" s="3">
        <v>0.2</v>
      </c>
      <c r="J53" s="3">
        <v>6001.47</v>
      </c>
      <c r="K53" s="3">
        <v>826.58</v>
      </c>
      <c r="L53" s="5" t="s">
        <v>31</v>
      </c>
      <c r="M53" s="3">
        <v>970</v>
      </c>
    </row>
    <row r="54" spans="1:13" x14ac:dyDescent="0.25">
      <c r="A54" s="3" t="s">
        <v>95</v>
      </c>
      <c r="B54" s="4">
        <v>45191</v>
      </c>
      <c r="C54" s="3" t="s">
        <v>39</v>
      </c>
      <c r="D54" s="3" t="s">
        <v>15</v>
      </c>
      <c r="E54" s="3" t="s">
        <v>26</v>
      </c>
      <c r="F54" s="3" t="s">
        <v>53</v>
      </c>
      <c r="G54" s="3">
        <v>1</v>
      </c>
      <c r="H54" s="3">
        <v>292.13</v>
      </c>
      <c r="I54" s="3">
        <v>0.2</v>
      </c>
      <c r="J54" s="3">
        <v>233.71</v>
      </c>
      <c r="K54" s="3">
        <v>24.69</v>
      </c>
      <c r="L54" s="5" t="s">
        <v>18</v>
      </c>
      <c r="M54" s="3">
        <v>698</v>
      </c>
    </row>
    <row r="55" spans="1:13" x14ac:dyDescent="0.25">
      <c r="A55" s="3" t="s">
        <v>96</v>
      </c>
      <c r="B55" s="4">
        <v>45272</v>
      </c>
      <c r="C55" s="3" t="s">
        <v>45</v>
      </c>
      <c r="D55" s="3" t="s">
        <v>15</v>
      </c>
      <c r="E55" s="3" t="s">
        <v>22</v>
      </c>
      <c r="F55" s="3" t="s">
        <v>49</v>
      </c>
      <c r="G55" s="3">
        <v>5</v>
      </c>
      <c r="H55" s="3">
        <v>1075.32</v>
      </c>
      <c r="I55" s="3">
        <v>0.1</v>
      </c>
      <c r="J55" s="3">
        <v>4838.9399999999996</v>
      </c>
      <c r="K55" s="3">
        <v>945.17</v>
      </c>
      <c r="L55" s="5" t="s">
        <v>31</v>
      </c>
      <c r="M55" s="3">
        <v>788</v>
      </c>
    </row>
    <row r="56" spans="1:13" x14ac:dyDescent="0.25">
      <c r="A56" s="3" t="s">
        <v>97</v>
      </c>
      <c r="B56" s="4">
        <v>44979</v>
      </c>
      <c r="C56" s="3" t="s">
        <v>91</v>
      </c>
      <c r="D56" s="3" t="s">
        <v>43</v>
      </c>
      <c r="E56" s="3" t="s">
        <v>26</v>
      </c>
      <c r="F56" s="3" t="s">
        <v>27</v>
      </c>
      <c r="G56" s="3">
        <v>7</v>
      </c>
      <c r="H56" s="3">
        <v>1973.4</v>
      </c>
      <c r="I56" s="3">
        <v>0.15</v>
      </c>
      <c r="J56" s="3">
        <v>11741.74</v>
      </c>
      <c r="K56" s="3">
        <v>1615.13</v>
      </c>
      <c r="L56" s="5" t="s">
        <v>31</v>
      </c>
      <c r="M56" s="3">
        <v>507</v>
      </c>
    </row>
    <row r="57" spans="1:13" x14ac:dyDescent="0.25">
      <c r="A57" s="3" t="s">
        <v>98</v>
      </c>
      <c r="B57" s="4">
        <v>45266</v>
      </c>
      <c r="C57" s="3" t="s">
        <v>34</v>
      </c>
      <c r="D57" s="3" t="s">
        <v>40</v>
      </c>
      <c r="E57" s="3" t="s">
        <v>22</v>
      </c>
      <c r="F57" s="3" t="s">
        <v>46</v>
      </c>
      <c r="G57" s="3">
        <v>3</v>
      </c>
      <c r="H57" s="3">
        <v>311.27999999999997</v>
      </c>
      <c r="I57" s="3">
        <v>0.1</v>
      </c>
      <c r="J57" s="3">
        <v>840.44</v>
      </c>
      <c r="K57" s="3">
        <v>95.32</v>
      </c>
      <c r="L57" s="5" t="s">
        <v>24</v>
      </c>
      <c r="M57" s="3">
        <v>496</v>
      </c>
    </row>
    <row r="58" spans="1:13" x14ac:dyDescent="0.25">
      <c r="A58" s="3" t="s">
        <v>99</v>
      </c>
      <c r="B58" s="4">
        <v>45018</v>
      </c>
      <c r="C58" s="3" t="s">
        <v>39</v>
      </c>
      <c r="D58" s="3" t="s">
        <v>21</v>
      </c>
      <c r="E58" s="3" t="s">
        <v>22</v>
      </c>
      <c r="F58" s="3" t="s">
        <v>23</v>
      </c>
      <c r="G58" s="3">
        <v>9</v>
      </c>
      <c r="H58" s="3">
        <v>1514</v>
      </c>
      <c r="I58" s="3">
        <v>0.1</v>
      </c>
      <c r="J58" s="3">
        <v>12263.42</v>
      </c>
      <c r="K58" s="3">
        <v>2401.69</v>
      </c>
      <c r="L58" s="5" t="s">
        <v>31</v>
      </c>
      <c r="M58" s="3">
        <v>354</v>
      </c>
    </row>
    <row r="59" spans="1:13" x14ac:dyDescent="0.25">
      <c r="A59" s="3" t="s">
        <v>100</v>
      </c>
      <c r="B59" s="4">
        <v>45190</v>
      </c>
      <c r="C59" s="3" t="s">
        <v>14</v>
      </c>
      <c r="D59" s="3" t="s">
        <v>40</v>
      </c>
      <c r="E59" s="3" t="s">
        <v>26</v>
      </c>
      <c r="F59" s="3" t="s">
        <v>56</v>
      </c>
      <c r="G59" s="3">
        <v>8</v>
      </c>
      <c r="H59" s="3">
        <v>1103.9000000000001</v>
      </c>
      <c r="I59" s="3">
        <v>0.2</v>
      </c>
      <c r="J59" s="3">
        <v>7064.98</v>
      </c>
      <c r="K59" s="3">
        <v>2054.54</v>
      </c>
      <c r="L59" s="5" t="s">
        <v>24</v>
      </c>
      <c r="M59" s="3">
        <v>937</v>
      </c>
    </row>
    <row r="60" spans="1:13" x14ac:dyDescent="0.25">
      <c r="A60" s="3" t="s">
        <v>101</v>
      </c>
      <c r="B60" s="4">
        <v>44961</v>
      </c>
      <c r="C60" s="3" t="s">
        <v>34</v>
      </c>
      <c r="D60" s="3" t="s">
        <v>21</v>
      </c>
      <c r="E60" s="3" t="s">
        <v>26</v>
      </c>
      <c r="F60" s="3" t="s">
        <v>27</v>
      </c>
      <c r="G60" s="3">
        <v>5</v>
      </c>
      <c r="H60" s="3">
        <v>580.67999999999995</v>
      </c>
      <c r="I60" s="3">
        <v>0.1</v>
      </c>
      <c r="J60" s="3">
        <v>2613.0700000000002</v>
      </c>
      <c r="K60" s="3">
        <v>763.87</v>
      </c>
      <c r="L60" s="5" t="s">
        <v>35</v>
      </c>
      <c r="M60" s="3">
        <v>464</v>
      </c>
    </row>
    <row r="61" spans="1:13" x14ac:dyDescent="0.25">
      <c r="A61" s="3" t="s">
        <v>102</v>
      </c>
      <c r="B61" s="4">
        <v>45132</v>
      </c>
      <c r="C61" s="3" t="s">
        <v>39</v>
      </c>
      <c r="D61" s="3" t="s">
        <v>21</v>
      </c>
      <c r="E61" s="3" t="s">
        <v>26</v>
      </c>
      <c r="F61" s="3" t="s">
        <v>53</v>
      </c>
      <c r="G61" s="3">
        <v>1</v>
      </c>
      <c r="H61" s="3">
        <v>1292.3599999999999</v>
      </c>
      <c r="I61" s="3">
        <v>0.1</v>
      </c>
      <c r="J61" s="3">
        <v>1163.1199999999999</v>
      </c>
      <c r="K61" s="3">
        <v>320.2</v>
      </c>
      <c r="L61" s="5" t="s">
        <v>31</v>
      </c>
      <c r="M61" s="3">
        <v>738</v>
      </c>
    </row>
    <row r="62" spans="1:13" x14ac:dyDescent="0.25">
      <c r="A62" s="3" t="s">
        <v>103</v>
      </c>
      <c r="B62" s="4">
        <v>45007</v>
      </c>
      <c r="C62" s="3" t="s">
        <v>29</v>
      </c>
      <c r="D62" s="3" t="s">
        <v>40</v>
      </c>
      <c r="E62" s="3" t="s">
        <v>22</v>
      </c>
      <c r="F62" s="3" t="s">
        <v>49</v>
      </c>
      <c r="G62" s="3">
        <v>8</v>
      </c>
      <c r="H62" s="3">
        <v>1278.25</v>
      </c>
      <c r="I62" s="3">
        <v>0.05</v>
      </c>
      <c r="J62" s="3">
        <v>9714.7099999999991</v>
      </c>
      <c r="K62" s="3">
        <v>942.62</v>
      </c>
      <c r="L62" s="5" t="s">
        <v>24</v>
      </c>
      <c r="M62" s="3">
        <v>911</v>
      </c>
    </row>
    <row r="63" spans="1:13" x14ac:dyDescent="0.25">
      <c r="A63" s="3" t="s">
        <v>104</v>
      </c>
      <c r="B63" s="4">
        <v>44976</v>
      </c>
      <c r="C63" s="3" t="s">
        <v>45</v>
      </c>
      <c r="D63" s="3" t="s">
        <v>43</v>
      </c>
      <c r="E63" s="3" t="s">
        <v>22</v>
      </c>
      <c r="F63" s="3" t="s">
        <v>23</v>
      </c>
      <c r="G63" s="3">
        <v>9</v>
      </c>
      <c r="H63" s="3">
        <v>593.9</v>
      </c>
      <c r="I63" s="3">
        <v>0.1</v>
      </c>
      <c r="J63" s="3">
        <v>4810.63</v>
      </c>
      <c r="K63" s="3">
        <v>1080.18</v>
      </c>
      <c r="L63" s="5" t="s">
        <v>35</v>
      </c>
      <c r="M63" s="3">
        <v>474</v>
      </c>
    </row>
    <row r="64" spans="1:13" x14ac:dyDescent="0.25">
      <c r="A64" s="3" t="s">
        <v>105</v>
      </c>
      <c r="B64" s="4">
        <v>45286</v>
      </c>
      <c r="C64" s="3" t="s">
        <v>14</v>
      </c>
      <c r="D64" s="3" t="s">
        <v>21</v>
      </c>
      <c r="E64" s="3" t="s">
        <v>26</v>
      </c>
      <c r="F64" s="3" t="s">
        <v>56</v>
      </c>
      <c r="G64" s="3">
        <v>3</v>
      </c>
      <c r="H64" s="3">
        <v>1662.82</v>
      </c>
      <c r="I64" s="3">
        <v>0.05</v>
      </c>
      <c r="J64" s="3">
        <v>4739.04</v>
      </c>
      <c r="K64" s="3">
        <v>730.57</v>
      </c>
      <c r="L64" s="5" t="s">
        <v>35</v>
      </c>
      <c r="M64" s="3">
        <v>248</v>
      </c>
    </row>
    <row r="65" spans="1:13" x14ac:dyDescent="0.25">
      <c r="A65" s="3" t="s">
        <v>106</v>
      </c>
      <c r="B65" s="4">
        <v>44928</v>
      </c>
      <c r="C65" s="3" t="s">
        <v>20</v>
      </c>
      <c r="D65" s="3" t="s">
        <v>40</v>
      </c>
      <c r="E65" s="3" t="s">
        <v>22</v>
      </c>
      <c r="F65" s="3" t="s">
        <v>49</v>
      </c>
      <c r="G65" s="3">
        <v>8</v>
      </c>
      <c r="H65" s="3">
        <v>1765.66</v>
      </c>
      <c r="I65" s="3">
        <v>0.1</v>
      </c>
      <c r="J65" s="3">
        <v>12712.73</v>
      </c>
      <c r="K65" s="3">
        <v>779.35</v>
      </c>
      <c r="L65" s="5" t="s">
        <v>35</v>
      </c>
      <c r="M65" s="3">
        <v>905</v>
      </c>
    </row>
    <row r="66" spans="1:13" x14ac:dyDescent="0.25">
      <c r="A66" s="3" t="s">
        <v>107</v>
      </c>
      <c r="B66" s="4">
        <v>44980</v>
      </c>
      <c r="C66" s="3" t="s">
        <v>29</v>
      </c>
      <c r="D66" s="3" t="s">
        <v>21</v>
      </c>
      <c r="E66" s="3" t="s">
        <v>22</v>
      </c>
      <c r="F66" s="3" t="s">
        <v>23</v>
      </c>
      <c r="G66" s="3">
        <v>2</v>
      </c>
      <c r="H66" s="3">
        <v>1975.82</v>
      </c>
      <c r="I66" s="3">
        <v>0</v>
      </c>
      <c r="J66" s="3">
        <v>3951.65</v>
      </c>
      <c r="K66" s="3">
        <v>569.77</v>
      </c>
      <c r="L66" s="5" t="s">
        <v>35</v>
      </c>
      <c r="M66" s="3">
        <v>193</v>
      </c>
    </row>
    <row r="67" spans="1:13" x14ac:dyDescent="0.25">
      <c r="A67" s="3" t="s">
        <v>108</v>
      </c>
      <c r="B67" s="4">
        <v>45032</v>
      </c>
      <c r="C67" s="3" t="s">
        <v>45</v>
      </c>
      <c r="D67" s="3" t="s">
        <v>43</v>
      </c>
      <c r="E67" s="3" t="s">
        <v>22</v>
      </c>
      <c r="F67" s="3" t="s">
        <v>46</v>
      </c>
      <c r="G67" s="3">
        <v>1</v>
      </c>
      <c r="H67" s="3">
        <v>1692.82</v>
      </c>
      <c r="I67" s="3">
        <v>0.05</v>
      </c>
      <c r="J67" s="3">
        <v>1608.18</v>
      </c>
      <c r="K67" s="3">
        <v>95.21</v>
      </c>
      <c r="L67" s="5" t="s">
        <v>31</v>
      </c>
      <c r="M67" s="3">
        <v>269</v>
      </c>
    </row>
    <row r="68" spans="1:13" x14ac:dyDescent="0.25">
      <c r="A68" s="3" t="s">
        <v>109</v>
      </c>
      <c r="B68" s="4">
        <v>45186</v>
      </c>
      <c r="C68" s="3" t="s">
        <v>14</v>
      </c>
      <c r="D68" s="3" t="s">
        <v>21</v>
      </c>
      <c r="E68" s="3" t="s">
        <v>16</v>
      </c>
      <c r="F68" s="3" t="s">
        <v>41</v>
      </c>
      <c r="G68" s="3">
        <v>1</v>
      </c>
      <c r="H68" s="3">
        <v>1115.26</v>
      </c>
      <c r="I68" s="3">
        <v>0.2</v>
      </c>
      <c r="J68" s="3">
        <v>892.21</v>
      </c>
      <c r="K68" s="3">
        <v>266.91000000000003</v>
      </c>
      <c r="L68" s="5" t="s">
        <v>35</v>
      </c>
      <c r="M68" s="3">
        <v>840</v>
      </c>
    </row>
    <row r="69" spans="1:13" x14ac:dyDescent="0.25">
      <c r="A69" s="3" t="s">
        <v>110</v>
      </c>
      <c r="B69" s="4">
        <v>45236</v>
      </c>
      <c r="C69" s="3" t="s">
        <v>91</v>
      </c>
      <c r="D69" s="3" t="s">
        <v>43</v>
      </c>
      <c r="E69" s="3" t="s">
        <v>26</v>
      </c>
      <c r="F69" s="3" t="s">
        <v>56</v>
      </c>
      <c r="G69" s="3">
        <v>3</v>
      </c>
      <c r="H69" s="3">
        <v>569.96</v>
      </c>
      <c r="I69" s="3">
        <v>0</v>
      </c>
      <c r="J69" s="3">
        <v>1709.88</v>
      </c>
      <c r="K69" s="3">
        <v>140.71</v>
      </c>
      <c r="L69" s="5" t="s">
        <v>35</v>
      </c>
      <c r="M69" s="3">
        <v>368</v>
      </c>
    </row>
    <row r="70" spans="1:13" x14ac:dyDescent="0.25">
      <c r="A70" s="3" t="s">
        <v>111</v>
      </c>
      <c r="B70" s="4">
        <v>45117</v>
      </c>
      <c r="C70" s="3" t="s">
        <v>60</v>
      </c>
      <c r="D70" s="3" t="s">
        <v>21</v>
      </c>
      <c r="E70" s="3" t="s">
        <v>22</v>
      </c>
      <c r="F70" s="3" t="s">
        <v>23</v>
      </c>
      <c r="G70" s="3">
        <v>1</v>
      </c>
      <c r="H70" s="3">
        <v>1538.3</v>
      </c>
      <c r="I70" s="3">
        <v>0.05</v>
      </c>
      <c r="J70" s="3">
        <v>1461.38</v>
      </c>
      <c r="K70" s="3">
        <v>203.92</v>
      </c>
      <c r="L70" s="5" t="s">
        <v>24</v>
      </c>
      <c r="M70" s="3">
        <v>758</v>
      </c>
    </row>
    <row r="71" spans="1:13" x14ac:dyDescent="0.25">
      <c r="A71" s="3" t="s">
        <v>112</v>
      </c>
      <c r="B71" s="4">
        <v>45144</v>
      </c>
      <c r="C71" s="3" t="s">
        <v>45</v>
      </c>
      <c r="D71" s="3" t="s">
        <v>15</v>
      </c>
      <c r="E71" s="3" t="s">
        <v>22</v>
      </c>
      <c r="F71" s="3" t="s">
        <v>49</v>
      </c>
      <c r="G71" s="3">
        <v>6</v>
      </c>
      <c r="H71" s="3">
        <v>1567.4</v>
      </c>
      <c r="I71" s="3">
        <v>0.1</v>
      </c>
      <c r="J71" s="3">
        <v>8463.99</v>
      </c>
      <c r="K71" s="3">
        <v>1074.45</v>
      </c>
      <c r="L71" s="5" t="s">
        <v>31</v>
      </c>
      <c r="M71" s="3">
        <v>241</v>
      </c>
    </row>
    <row r="72" spans="1:13" x14ac:dyDescent="0.25">
      <c r="A72" s="3" t="s">
        <v>113</v>
      </c>
      <c r="B72" s="4">
        <v>44970</v>
      </c>
      <c r="C72" s="3" t="s">
        <v>34</v>
      </c>
      <c r="D72" s="3" t="s">
        <v>21</v>
      </c>
      <c r="E72" s="3" t="s">
        <v>26</v>
      </c>
      <c r="F72" s="3" t="s">
        <v>53</v>
      </c>
      <c r="G72" s="3">
        <v>9</v>
      </c>
      <c r="H72" s="3">
        <v>1220.92</v>
      </c>
      <c r="I72" s="3">
        <v>0.2</v>
      </c>
      <c r="J72" s="3">
        <v>8790.6</v>
      </c>
      <c r="K72" s="3">
        <v>1802.75</v>
      </c>
      <c r="L72" s="5" t="s">
        <v>18</v>
      </c>
      <c r="M72" s="3">
        <v>695</v>
      </c>
    </row>
    <row r="73" spans="1:13" x14ac:dyDescent="0.25">
      <c r="A73" s="3" t="s">
        <v>114</v>
      </c>
      <c r="B73" s="4">
        <v>45088</v>
      </c>
      <c r="C73" s="3" t="s">
        <v>91</v>
      </c>
      <c r="D73" s="3" t="s">
        <v>21</v>
      </c>
      <c r="E73" s="3" t="s">
        <v>16</v>
      </c>
      <c r="F73" s="3" t="s">
        <v>41</v>
      </c>
      <c r="G73" s="3">
        <v>2</v>
      </c>
      <c r="H73" s="3">
        <v>766.12</v>
      </c>
      <c r="I73" s="3">
        <v>0.05</v>
      </c>
      <c r="J73" s="3">
        <v>1455.62</v>
      </c>
      <c r="K73" s="3">
        <v>304.45999999999998</v>
      </c>
      <c r="L73" s="5" t="s">
        <v>24</v>
      </c>
      <c r="M73" s="3">
        <v>679</v>
      </c>
    </row>
    <row r="74" spans="1:13" x14ac:dyDescent="0.25">
      <c r="A74" s="3" t="s">
        <v>115</v>
      </c>
      <c r="B74" s="4">
        <v>45128</v>
      </c>
      <c r="C74" s="3" t="s">
        <v>29</v>
      </c>
      <c r="D74" s="3" t="s">
        <v>21</v>
      </c>
      <c r="E74" s="3" t="s">
        <v>26</v>
      </c>
      <c r="F74" s="3" t="s">
        <v>53</v>
      </c>
      <c r="G74" s="3">
        <v>1</v>
      </c>
      <c r="H74" s="3">
        <v>1588.94</v>
      </c>
      <c r="I74" s="3">
        <v>0.15</v>
      </c>
      <c r="J74" s="3">
        <v>1350.6</v>
      </c>
      <c r="K74" s="3">
        <v>168.14</v>
      </c>
      <c r="L74" s="5" t="s">
        <v>35</v>
      </c>
      <c r="M74" s="3">
        <v>183</v>
      </c>
    </row>
    <row r="75" spans="1:13" x14ac:dyDescent="0.25">
      <c r="A75" s="3" t="s">
        <v>116</v>
      </c>
      <c r="B75" s="4">
        <v>45196</v>
      </c>
      <c r="C75" s="3" t="s">
        <v>37</v>
      </c>
      <c r="D75" s="3" t="s">
        <v>40</v>
      </c>
      <c r="E75" s="3" t="s">
        <v>26</v>
      </c>
      <c r="F75" s="3" t="s">
        <v>56</v>
      </c>
      <c r="G75" s="3">
        <v>4</v>
      </c>
      <c r="H75" s="3">
        <v>972.76</v>
      </c>
      <c r="I75" s="3">
        <v>0</v>
      </c>
      <c r="J75" s="3">
        <v>3891.04</v>
      </c>
      <c r="K75" s="3">
        <v>673.26</v>
      </c>
      <c r="L75" s="5" t="s">
        <v>35</v>
      </c>
      <c r="M75" s="3">
        <v>824</v>
      </c>
    </row>
    <row r="76" spans="1:13" x14ac:dyDescent="0.25">
      <c r="A76" s="3" t="s">
        <v>117</v>
      </c>
      <c r="B76" s="4">
        <v>45277</v>
      </c>
      <c r="C76" s="3" t="s">
        <v>91</v>
      </c>
      <c r="D76" s="3" t="s">
        <v>21</v>
      </c>
      <c r="E76" s="3" t="s">
        <v>22</v>
      </c>
      <c r="F76" s="3" t="s">
        <v>49</v>
      </c>
      <c r="G76" s="3">
        <v>5</v>
      </c>
      <c r="H76" s="3">
        <v>760.09</v>
      </c>
      <c r="I76" s="3">
        <v>0.1</v>
      </c>
      <c r="J76" s="3">
        <v>3420.38</v>
      </c>
      <c r="K76" s="3">
        <v>666.68</v>
      </c>
      <c r="L76" s="5" t="s">
        <v>35</v>
      </c>
      <c r="M76" s="3">
        <v>159</v>
      </c>
    </row>
    <row r="77" spans="1:13" x14ac:dyDescent="0.25">
      <c r="A77" s="3" t="s">
        <v>118</v>
      </c>
      <c r="B77" s="4">
        <v>45230</v>
      </c>
      <c r="C77" s="3" t="s">
        <v>60</v>
      </c>
      <c r="D77" s="3" t="s">
        <v>43</v>
      </c>
      <c r="E77" s="3" t="s">
        <v>16</v>
      </c>
      <c r="F77" s="3" t="s">
        <v>17</v>
      </c>
      <c r="G77" s="3">
        <v>6</v>
      </c>
      <c r="H77" s="3">
        <v>1425.57</v>
      </c>
      <c r="I77" s="3">
        <v>0.15</v>
      </c>
      <c r="J77" s="3">
        <v>7270.4</v>
      </c>
      <c r="K77" s="3">
        <v>694.11</v>
      </c>
      <c r="L77" s="5" t="s">
        <v>18</v>
      </c>
      <c r="M77" s="3">
        <v>1000</v>
      </c>
    </row>
    <row r="78" spans="1:13" x14ac:dyDescent="0.25">
      <c r="A78" s="3" t="s">
        <v>119</v>
      </c>
      <c r="B78" s="4">
        <v>45197</v>
      </c>
      <c r="C78" s="3" t="s">
        <v>14</v>
      </c>
      <c r="D78" s="3" t="s">
        <v>15</v>
      </c>
      <c r="E78" s="3" t="s">
        <v>16</v>
      </c>
      <c r="F78" s="3" t="s">
        <v>17</v>
      </c>
      <c r="G78" s="3">
        <v>2</v>
      </c>
      <c r="H78" s="3">
        <v>1243.68</v>
      </c>
      <c r="I78" s="3">
        <v>0.1</v>
      </c>
      <c r="J78" s="3">
        <v>2238.62</v>
      </c>
      <c r="K78" s="3">
        <v>134.80000000000001</v>
      </c>
      <c r="L78" s="5" t="s">
        <v>31</v>
      </c>
      <c r="M78" s="3">
        <v>382</v>
      </c>
    </row>
    <row r="79" spans="1:13" x14ac:dyDescent="0.25">
      <c r="A79" s="3" t="s">
        <v>120</v>
      </c>
      <c r="B79" s="4">
        <v>45141</v>
      </c>
      <c r="C79" s="3" t="s">
        <v>29</v>
      </c>
      <c r="D79" s="3" t="s">
        <v>15</v>
      </c>
      <c r="E79" s="3" t="s">
        <v>22</v>
      </c>
      <c r="F79" s="3" t="s">
        <v>23</v>
      </c>
      <c r="G79" s="3">
        <v>6</v>
      </c>
      <c r="H79" s="3">
        <v>268.52999999999997</v>
      </c>
      <c r="I79" s="3">
        <v>0</v>
      </c>
      <c r="J79" s="3">
        <v>1611.21</v>
      </c>
      <c r="K79" s="3">
        <v>295.83</v>
      </c>
      <c r="L79" s="5" t="s">
        <v>24</v>
      </c>
      <c r="M79" s="3">
        <v>907</v>
      </c>
    </row>
    <row r="80" spans="1:13" x14ac:dyDescent="0.25">
      <c r="A80" s="3" t="s">
        <v>121</v>
      </c>
      <c r="B80" s="4">
        <v>45178</v>
      </c>
      <c r="C80" s="3" t="s">
        <v>60</v>
      </c>
      <c r="D80" s="3" t="s">
        <v>15</v>
      </c>
      <c r="E80" s="3" t="s">
        <v>26</v>
      </c>
      <c r="F80" s="3" t="s">
        <v>53</v>
      </c>
      <c r="G80" s="3">
        <v>9</v>
      </c>
      <c r="H80" s="3">
        <v>275.35000000000002</v>
      </c>
      <c r="I80" s="3">
        <v>0</v>
      </c>
      <c r="J80" s="3">
        <v>2478.17</v>
      </c>
      <c r="K80" s="3">
        <v>550.02</v>
      </c>
      <c r="L80" s="5" t="s">
        <v>18</v>
      </c>
      <c r="M80" s="3">
        <v>579</v>
      </c>
    </row>
    <row r="81" spans="1:13" x14ac:dyDescent="0.25">
      <c r="A81" s="3" t="s">
        <v>122</v>
      </c>
      <c r="B81" s="4">
        <v>45116</v>
      </c>
      <c r="C81" s="3" t="s">
        <v>91</v>
      </c>
      <c r="D81" s="3" t="s">
        <v>43</v>
      </c>
      <c r="E81" s="3" t="s">
        <v>16</v>
      </c>
      <c r="F81" s="3" t="s">
        <v>30</v>
      </c>
      <c r="G81" s="3">
        <v>1</v>
      </c>
      <c r="H81" s="3">
        <v>626.07000000000005</v>
      </c>
      <c r="I81" s="3">
        <v>0</v>
      </c>
      <c r="J81" s="3">
        <v>626.07000000000005</v>
      </c>
      <c r="K81" s="3">
        <v>44.53</v>
      </c>
      <c r="L81" s="5" t="s">
        <v>31</v>
      </c>
      <c r="M81" s="3">
        <v>947</v>
      </c>
    </row>
    <row r="82" spans="1:13" x14ac:dyDescent="0.25">
      <c r="A82" s="3" t="s">
        <v>123</v>
      </c>
      <c r="B82" s="4">
        <v>45222</v>
      </c>
      <c r="C82" s="3" t="s">
        <v>60</v>
      </c>
      <c r="D82" s="3" t="s">
        <v>15</v>
      </c>
      <c r="E82" s="3" t="s">
        <v>16</v>
      </c>
      <c r="F82" s="3" t="s">
        <v>17</v>
      </c>
      <c r="G82" s="3">
        <v>8</v>
      </c>
      <c r="H82" s="3">
        <v>1020.59</v>
      </c>
      <c r="I82" s="3">
        <v>0.05</v>
      </c>
      <c r="J82" s="3">
        <v>7756.51</v>
      </c>
      <c r="K82" s="3">
        <v>1861.48</v>
      </c>
      <c r="L82" s="5" t="s">
        <v>35</v>
      </c>
      <c r="M82" s="3">
        <v>800</v>
      </c>
    </row>
    <row r="83" spans="1:13" x14ac:dyDescent="0.25">
      <c r="A83" s="3" t="s">
        <v>124</v>
      </c>
      <c r="B83" s="4">
        <v>45139</v>
      </c>
      <c r="C83" s="3" t="s">
        <v>34</v>
      </c>
      <c r="D83" s="3" t="s">
        <v>15</v>
      </c>
      <c r="E83" s="3" t="s">
        <v>22</v>
      </c>
      <c r="F83" s="3" t="s">
        <v>49</v>
      </c>
      <c r="G83" s="3">
        <v>8</v>
      </c>
      <c r="H83" s="3">
        <v>352.92</v>
      </c>
      <c r="I83" s="3">
        <v>0.1</v>
      </c>
      <c r="J83" s="3">
        <v>2541.04</v>
      </c>
      <c r="K83" s="3">
        <v>695.74</v>
      </c>
      <c r="L83" s="5" t="s">
        <v>24</v>
      </c>
      <c r="M83" s="3">
        <v>523</v>
      </c>
    </row>
    <row r="84" spans="1:13" x14ac:dyDescent="0.25">
      <c r="A84" s="3" t="s">
        <v>125</v>
      </c>
      <c r="B84" s="4">
        <v>45134</v>
      </c>
      <c r="C84" s="3" t="s">
        <v>39</v>
      </c>
      <c r="D84" s="3" t="s">
        <v>43</v>
      </c>
      <c r="E84" s="3" t="s">
        <v>16</v>
      </c>
      <c r="F84" s="3" t="s">
        <v>17</v>
      </c>
      <c r="G84" s="3">
        <v>9</v>
      </c>
      <c r="H84" s="3">
        <v>1501.07</v>
      </c>
      <c r="I84" s="3">
        <v>0.15</v>
      </c>
      <c r="J84" s="3">
        <v>11483.18</v>
      </c>
      <c r="K84" s="3">
        <v>631.78</v>
      </c>
      <c r="L84" s="5" t="s">
        <v>18</v>
      </c>
      <c r="M84" s="3">
        <v>836</v>
      </c>
    </row>
    <row r="85" spans="1:13" x14ac:dyDescent="0.25">
      <c r="A85" s="3" t="s">
        <v>126</v>
      </c>
      <c r="B85" s="4">
        <v>45163</v>
      </c>
      <c r="C85" s="3" t="s">
        <v>29</v>
      </c>
      <c r="D85" s="3" t="s">
        <v>21</v>
      </c>
      <c r="E85" s="3" t="s">
        <v>22</v>
      </c>
      <c r="F85" s="3" t="s">
        <v>49</v>
      </c>
      <c r="G85" s="3">
        <v>9</v>
      </c>
      <c r="H85" s="3">
        <v>1792</v>
      </c>
      <c r="I85" s="3">
        <v>0.15</v>
      </c>
      <c r="J85" s="3">
        <v>13708.81</v>
      </c>
      <c r="K85" s="3">
        <v>2309.83</v>
      </c>
      <c r="L85" s="5" t="s">
        <v>35</v>
      </c>
      <c r="M85" s="3">
        <v>361</v>
      </c>
    </row>
    <row r="86" spans="1:13" x14ac:dyDescent="0.25">
      <c r="A86" s="3" t="s">
        <v>127</v>
      </c>
      <c r="B86" s="4">
        <v>45264</v>
      </c>
      <c r="C86" s="3" t="s">
        <v>60</v>
      </c>
      <c r="D86" s="3" t="s">
        <v>43</v>
      </c>
      <c r="E86" s="3" t="s">
        <v>26</v>
      </c>
      <c r="F86" s="3" t="s">
        <v>53</v>
      </c>
      <c r="G86" s="3">
        <v>4</v>
      </c>
      <c r="H86" s="3">
        <v>1120.5</v>
      </c>
      <c r="I86" s="3">
        <v>0.05</v>
      </c>
      <c r="J86" s="3">
        <v>4257.91</v>
      </c>
      <c r="K86" s="3">
        <v>806.6</v>
      </c>
      <c r="L86" s="5" t="s">
        <v>31</v>
      </c>
      <c r="M86" s="3">
        <v>474</v>
      </c>
    </row>
    <row r="87" spans="1:13" x14ac:dyDescent="0.25">
      <c r="A87" s="3" t="s">
        <v>128</v>
      </c>
      <c r="B87" s="4">
        <v>44979</v>
      </c>
      <c r="C87" s="3" t="s">
        <v>34</v>
      </c>
      <c r="D87" s="3" t="s">
        <v>21</v>
      </c>
      <c r="E87" s="3" t="s">
        <v>16</v>
      </c>
      <c r="F87" s="3" t="s">
        <v>41</v>
      </c>
      <c r="G87" s="3">
        <v>9</v>
      </c>
      <c r="H87" s="3">
        <v>741.15</v>
      </c>
      <c r="I87" s="3">
        <v>0.15</v>
      </c>
      <c r="J87" s="3">
        <v>5669.79</v>
      </c>
      <c r="K87" s="3">
        <v>1199.04</v>
      </c>
      <c r="L87" s="5" t="s">
        <v>31</v>
      </c>
      <c r="M87" s="3">
        <v>477</v>
      </c>
    </row>
    <row r="88" spans="1:13" x14ac:dyDescent="0.25">
      <c r="A88" s="3" t="s">
        <v>129</v>
      </c>
      <c r="B88" s="4">
        <v>45206</v>
      </c>
      <c r="C88" s="3" t="s">
        <v>14</v>
      </c>
      <c r="D88" s="3" t="s">
        <v>15</v>
      </c>
      <c r="E88" s="3" t="s">
        <v>16</v>
      </c>
      <c r="F88" s="3" t="s">
        <v>30</v>
      </c>
      <c r="G88" s="3">
        <v>6</v>
      </c>
      <c r="H88" s="3">
        <v>1250.97</v>
      </c>
      <c r="I88" s="3">
        <v>0</v>
      </c>
      <c r="J88" s="3">
        <v>7505.83</v>
      </c>
      <c r="K88" s="3">
        <v>389.43</v>
      </c>
      <c r="L88" s="5" t="s">
        <v>24</v>
      </c>
      <c r="M88" s="3">
        <v>966</v>
      </c>
    </row>
    <row r="89" spans="1:13" x14ac:dyDescent="0.25">
      <c r="A89" s="3" t="s">
        <v>130</v>
      </c>
      <c r="B89" s="4">
        <v>45143</v>
      </c>
      <c r="C89" s="3" t="s">
        <v>60</v>
      </c>
      <c r="D89" s="3" t="s">
        <v>43</v>
      </c>
      <c r="E89" s="3" t="s">
        <v>16</v>
      </c>
      <c r="F89" s="3" t="s">
        <v>41</v>
      </c>
      <c r="G89" s="3">
        <v>8</v>
      </c>
      <c r="H89" s="3">
        <v>1803.85</v>
      </c>
      <c r="I89" s="3">
        <v>0.1</v>
      </c>
      <c r="J89" s="3">
        <v>12987.75</v>
      </c>
      <c r="K89" s="3">
        <v>2352.44</v>
      </c>
      <c r="L89" s="5" t="s">
        <v>31</v>
      </c>
      <c r="M89" s="3">
        <v>994</v>
      </c>
    </row>
    <row r="90" spans="1:13" x14ac:dyDescent="0.25">
      <c r="A90" s="3" t="s">
        <v>131</v>
      </c>
      <c r="B90" s="4">
        <v>45178</v>
      </c>
      <c r="C90" s="3" t="s">
        <v>52</v>
      </c>
      <c r="D90" s="3" t="s">
        <v>15</v>
      </c>
      <c r="E90" s="3" t="s">
        <v>16</v>
      </c>
      <c r="F90" s="3" t="s">
        <v>41</v>
      </c>
      <c r="G90" s="3">
        <v>2</v>
      </c>
      <c r="H90" s="3">
        <v>1194.4000000000001</v>
      </c>
      <c r="I90" s="3">
        <v>0.1</v>
      </c>
      <c r="J90" s="3">
        <v>2149.91</v>
      </c>
      <c r="K90" s="3">
        <v>572.69000000000005</v>
      </c>
      <c r="L90" s="5" t="s">
        <v>35</v>
      </c>
      <c r="M90" s="3">
        <v>370</v>
      </c>
    </row>
    <row r="91" spans="1:13" x14ac:dyDescent="0.25">
      <c r="A91" s="3" t="s">
        <v>132</v>
      </c>
      <c r="B91" s="4">
        <v>45114</v>
      </c>
      <c r="C91" s="3" t="s">
        <v>60</v>
      </c>
      <c r="D91" s="3" t="s">
        <v>15</v>
      </c>
      <c r="E91" s="3" t="s">
        <v>22</v>
      </c>
      <c r="F91" s="3" t="s">
        <v>49</v>
      </c>
      <c r="G91" s="3">
        <v>3</v>
      </c>
      <c r="H91" s="3">
        <v>1659.64</v>
      </c>
      <c r="I91" s="3">
        <v>0.05</v>
      </c>
      <c r="J91" s="3">
        <v>4729.96</v>
      </c>
      <c r="K91" s="3">
        <v>894.87</v>
      </c>
      <c r="L91" s="5" t="s">
        <v>18</v>
      </c>
      <c r="M91" s="3">
        <v>984</v>
      </c>
    </row>
    <row r="92" spans="1:13" x14ac:dyDescent="0.25">
      <c r="A92" s="3" t="s">
        <v>133</v>
      </c>
      <c r="B92" s="4">
        <v>44967</v>
      </c>
      <c r="C92" s="3" t="s">
        <v>45</v>
      </c>
      <c r="D92" s="3" t="s">
        <v>40</v>
      </c>
      <c r="E92" s="3" t="s">
        <v>26</v>
      </c>
      <c r="F92" s="3" t="s">
        <v>56</v>
      </c>
      <c r="G92" s="3">
        <v>6</v>
      </c>
      <c r="H92" s="3">
        <v>1939.19</v>
      </c>
      <c r="I92" s="3">
        <v>0.15</v>
      </c>
      <c r="J92" s="3">
        <v>9889.86</v>
      </c>
      <c r="K92" s="3">
        <v>1546.37</v>
      </c>
      <c r="L92" s="5" t="s">
        <v>35</v>
      </c>
      <c r="M92" s="3">
        <v>256</v>
      </c>
    </row>
    <row r="93" spans="1:13" x14ac:dyDescent="0.25">
      <c r="A93" s="3" t="s">
        <v>134</v>
      </c>
      <c r="B93" s="4">
        <v>45083</v>
      </c>
      <c r="C93" s="3" t="s">
        <v>91</v>
      </c>
      <c r="D93" s="3" t="s">
        <v>43</v>
      </c>
      <c r="E93" s="3" t="s">
        <v>16</v>
      </c>
      <c r="F93" s="3" t="s">
        <v>30</v>
      </c>
      <c r="G93" s="3">
        <v>6</v>
      </c>
      <c r="H93" s="3">
        <v>1204.3499999999999</v>
      </c>
      <c r="I93" s="3">
        <v>0.1</v>
      </c>
      <c r="J93" s="3">
        <v>6503.5</v>
      </c>
      <c r="K93" s="3">
        <v>1840.51</v>
      </c>
      <c r="L93" s="5" t="s">
        <v>24</v>
      </c>
      <c r="M93" s="3">
        <v>496</v>
      </c>
    </row>
    <row r="94" spans="1:13" x14ac:dyDescent="0.25">
      <c r="A94" s="3" t="s">
        <v>135</v>
      </c>
      <c r="B94" s="4">
        <v>44941</v>
      </c>
      <c r="C94" s="3" t="s">
        <v>60</v>
      </c>
      <c r="D94" s="3" t="s">
        <v>15</v>
      </c>
      <c r="E94" s="3" t="s">
        <v>22</v>
      </c>
      <c r="F94" s="3" t="s">
        <v>49</v>
      </c>
      <c r="G94" s="3">
        <v>5</v>
      </c>
      <c r="H94" s="3">
        <v>220.41</v>
      </c>
      <c r="I94" s="3">
        <v>0.15</v>
      </c>
      <c r="J94" s="3">
        <v>936.75</v>
      </c>
      <c r="K94" s="3">
        <v>94.08</v>
      </c>
      <c r="L94" s="5" t="s">
        <v>31</v>
      </c>
      <c r="M94" s="3">
        <v>632</v>
      </c>
    </row>
    <row r="95" spans="1:13" x14ac:dyDescent="0.25">
      <c r="A95" s="3" t="s">
        <v>136</v>
      </c>
      <c r="B95" s="4">
        <v>45227</v>
      </c>
      <c r="C95" s="3" t="s">
        <v>60</v>
      </c>
      <c r="D95" s="3" t="s">
        <v>15</v>
      </c>
      <c r="E95" s="3" t="s">
        <v>26</v>
      </c>
      <c r="F95" s="3" t="s">
        <v>27</v>
      </c>
      <c r="G95" s="3">
        <v>5</v>
      </c>
      <c r="H95" s="3">
        <v>105.15</v>
      </c>
      <c r="I95" s="3">
        <v>0</v>
      </c>
      <c r="J95" s="3">
        <v>525.75</v>
      </c>
      <c r="K95" s="3">
        <v>104.58</v>
      </c>
      <c r="L95" s="5" t="s">
        <v>18</v>
      </c>
      <c r="M95" s="3">
        <v>553</v>
      </c>
    </row>
    <row r="96" spans="1:13" x14ac:dyDescent="0.25">
      <c r="A96" s="3" t="s">
        <v>137</v>
      </c>
      <c r="B96" s="4">
        <v>44991</v>
      </c>
      <c r="C96" s="3" t="s">
        <v>14</v>
      </c>
      <c r="D96" s="3" t="s">
        <v>40</v>
      </c>
      <c r="E96" s="3" t="s">
        <v>16</v>
      </c>
      <c r="F96" s="3" t="s">
        <v>41</v>
      </c>
      <c r="G96" s="3">
        <v>1</v>
      </c>
      <c r="H96" s="3">
        <v>1716.38</v>
      </c>
      <c r="I96" s="3">
        <v>0.15</v>
      </c>
      <c r="J96" s="3">
        <v>1458.92</v>
      </c>
      <c r="K96" s="3">
        <v>424.92</v>
      </c>
      <c r="L96" s="5" t="s">
        <v>18</v>
      </c>
      <c r="M96" s="3">
        <v>782</v>
      </c>
    </row>
    <row r="97" spans="1:13" x14ac:dyDescent="0.25">
      <c r="A97" s="3" t="s">
        <v>138</v>
      </c>
      <c r="B97" s="4">
        <v>45271</v>
      </c>
      <c r="C97" s="3" t="s">
        <v>60</v>
      </c>
      <c r="D97" s="3" t="s">
        <v>21</v>
      </c>
      <c r="E97" s="3" t="s">
        <v>26</v>
      </c>
      <c r="F97" s="3" t="s">
        <v>53</v>
      </c>
      <c r="G97" s="3">
        <v>3</v>
      </c>
      <c r="H97" s="3">
        <v>226.34</v>
      </c>
      <c r="I97" s="3">
        <v>0.15</v>
      </c>
      <c r="J97" s="3">
        <v>577.16999999999996</v>
      </c>
      <c r="K97" s="3">
        <v>150.33000000000001</v>
      </c>
      <c r="L97" s="5" t="s">
        <v>35</v>
      </c>
      <c r="M97" s="3">
        <v>826</v>
      </c>
    </row>
    <row r="98" spans="1:13" x14ac:dyDescent="0.25">
      <c r="A98" s="3" t="s">
        <v>139</v>
      </c>
      <c r="B98" s="4">
        <v>45253</v>
      </c>
      <c r="C98" s="3" t="s">
        <v>29</v>
      </c>
      <c r="D98" s="3" t="s">
        <v>15</v>
      </c>
      <c r="E98" s="3" t="s">
        <v>26</v>
      </c>
      <c r="F98" s="3" t="s">
        <v>53</v>
      </c>
      <c r="G98" s="3">
        <v>3</v>
      </c>
      <c r="H98" s="3">
        <v>412.11</v>
      </c>
      <c r="I98" s="3">
        <v>0.2</v>
      </c>
      <c r="J98" s="3">
        <v>989.05</v>
      </c>
      <c r="K98" s="3">
        <v>107.73</v>
      </c>
      <c r="L98" s="5" t="s">
        <v>31</v>
      </c>
      <c r="M98" s="3">
        <v>995</v>
      </c>
    </row>
    <row r="99" spans="1:13" x14ac:dyDescent="0.25">
      <c r="A99" s="3" t="s">
        <v>140</v>
      </c>
      <c r="B99" s="4">
        <v>44935</v>
      </c>
      <c r="C99" s="3" t="s">
        <v>45</v>
      </c>
      <c r="D99" s="3" t="s">
        <v>21</v>
      </c>
      <c r="E99" s="3" t="s">
        <v>26</v>
      </c>
      <c r="F99" s="3" t="s">
        <v>56</v>
      </c>
      <c r="G99" s="3">
        <v>9</v>
      </c>
      <c r="H99" s="3">
        <v>1397.67</v>
      </c>
      <c r="I99" s="3">
        <v>0.1</v>
      </c>
      <c r="J99" s="3">
        <v>11321.09</v>
      </c>
      <c r="K99" s="3">
        <v>2332.4299999999998</v>
      </c>
      <c r="L99" s="5" t="s">
        <v>18</v>
      </c>
      <c r="M99" s="3">
        <v>879</v>
      </c>
    </row>
    <row r="100" spans="1:13" x14ac:dyDescent="0.25">
      <c r="A100" s="3" t="s">
        <v>141</v>
      </c>
      <c r="B100" s="4">
        <v>45270</v>
      </c>
      <c r="C100" s="3" t="s">
        <v>60</v>
      </c>
      <c r="D100" s="3" t="s">
        <v>40</v>
      </c>
      <c r="E100" s="3" t="s">
        <v>16</v>
      </c>
      <c r="F100" s="3" t="s">
        <v>30</v>
      </c>
      <c r="G100" s="3">
        <v>9</v>
      </c>
      <c r="H100" s="3">
        <v>775.19</v>
      </c>
      <c r="I100" s="3">
        <v>0.05</v>
      </c>
      <c r="J100" s="3">
        <v>6627.86</v>
      </c>
      <c r="K100" s="3">
        <v>1232.04</v>
      </c>
      <c r="L100" s="5" t="s">
        <v>18</v>
      </c>
      <c r="M100" s="3">
        <v>422</v>
      </c>
    </row>
    <row r="101" spans="1:13" x14ac:dyDescent="0.25">
      <c r="A101" s="3" t="s">
        <v>142</v>
      </c>
      <c r="B101" s="4">
        <v>45055</v>
      </c>
      <c r="C101" s="3" t="s">
        <v>37</v>
      </c>
      <c r="D101" s="3" t="s">
        <v>21</v>
      </c>
      <c r="E101" s="3" t="s">
        <v>16</v>
      </c>
      <c r="F101" s="3" t="s">
        <v>17</v>
      </c>
      <c r="G101" s="3">
        <v>6</v>
      </c>
      <c r="H101" s="3">
        <v>1885.68</v>
      </c>
      <c r="I101" s="3">
        <v>0.1</v>
      </c>
      <c r="J101" s="3">
        <v>10182.68</v>
      </c>
      <c r="K101" s="3">
        <v>1361.69</v>
      </c>
      <c r="L101" s="5" t="s">
        <v>18</v>
      </c>
      <c r="M101" s="3">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20DFF-22E8-4BDA-A921-F66522791337}">
  <dimension ref="A2:L21"/>
  <sheetViews>
    <sheetView workbookViewId="0">
      <selection sqref="A1:H3"/>
    </sheetView>
  </sheetViews>
  <sheetFormatPr defaultRowHeight="15" x14ac:dyDescent="0.25"/>
  <cols>
    <col min="1" max="1" width="15.140625" bestFit="1" customWidth="1"/>
    <col min="2" max="2" width="17.28515625" bestFit="1" customWidth="1"/>
    <col min="4" max="4" width="14.5703125" bestFit="1" customWidth="1"/>
    <col min="5" max="5" width="11.28515625" bestFit="1" customWidth="1"/>
    <col min="6" max="6" width="17.28515625" bestFit="1" customWidth="1"/>
    <col min="8" max="8" width="17.7109375" bestFit="1" customWidth="1"/>
    <col min="9" max="9" width="17.28515625" bestFit="1" customWidth="1"/>
    <col min="11" max="11" width="11.28515625" bestFit="1" customWidth="1"/>
    <col min="12" max="12" width="17.28515625" bestFit="1" customWidth="1"/>
  </cols>
  <sheetData>
    <row r="2" spans="1:12" x14ac:dyDescent="0.25">
      <c r="A2" s="6" t="s">
        <v>5</v>
      </c>
      <c r="B2" t="s">
        <v>144</v>
      </c>
    </row>
    <row r="3" spans="1:12" x14ac:dyDescent="0.25">
      <c r="A3" s="7" t="s">
        <v>41</v>
      </c>
      <c r="B3" s="8">
        <v>70067.000000000015</v>
      </c>
      <c r="D3" s="6" t="s">
        <v>4</v>
      </c>
      <c r="E3" t="s">
        <v>144</v>
      </c>
    </row>
    <row r="4" spans="1:12" x14ac:dyDescent="0.25">
      <c r="A4" s="7" t="s">
        <v>27</v>
      </c>
      <c r="B4" s="8">
        <v>38336.629999999997</v>
      </c>
      <c r="D4" s="7" t="s">
        <v>26</v>
      </c>
      <c r="E4" s="8">
        <v>163132.53000000003</v>
      </c>
    </row>
    <row r="5" spans="1:12" x14ac:dyDescent="0.25">
      <c r="A5" s="7" t="s">
        <v>56</v>
      </c>
      <c r="B5" s="8">
        <v>94203.04</v>
      </c>
      <c r="D5" s="7" t="s">
        <v>16</v>
      </c>
      <c r="E5" s="8">
        <v>156914.88999999998</v>
      </c>
    </row>
    <row r="6" spans="1:12" x14ac:dyDescent="0.25">
      <c r="A6" s="7" t="s">
        <v>23</v>
      </c>
      <c r="B6" s="8">
        <v>63529.05999999999</v>
      </c>
      <c r="D6" s="7" t="s">
        <v>22</v>
      </c>
      <c r="E6" s="8">
        <v>171027.71000000002</v>
      </c>
    </row>
    <row r="7" spans="1:12" x14ac:dyDescent="0.25">
      <c r="A7" s="7" t="s">
        <v>49</v>
      </c>
      <c r="B7" s="8">
        <v>85652.299999999988</v>
      </c>
      <c r="D7" s="7" t="s">
        <v>143</v>
      </c>
      <c r="E7" s="8">
        <v>491075.13000000006</v>
      </c>
      <c r="H7" s="6" t="s">
        <v>2</v>
      </c>
      <c r="I7" t="s">
        <v>144</v>
      </c>
    </row>
    <row r="8" spans="1:12" x14ac:dyDescent="0.25">
      <c r="A8" s="7" t="s">
        <v>30</v>
      </c>
      <c r="B8" s="8">
        <v>41441.74</v>
      </c>
      <c r="H8" s="7" t="s">
        <v>45</v>
      </c>
      <c r="I8" s="8">
        <v>70275.61</v>
      </c>
      <c r="K8" s="6" t="s">
        <v>157</v>
      </c>
      <c r="L8" t="s">
        <v>144</v>
      </c>
    </row>
    <row r="9" spans="1:12" x14ac:dyDescent="0.25">
      <c r="A9" s="7" t="s">
        <v>17</v>
      </c>
      <c r="B9" s="8">
        <v>45406.15</v>
      </c>
      <c r="E9" s="6" t="s">
        <v>3</v>
      </c>
      <c r="F9" t="s">
        <v>144</v>
      </c>
      <c r="H9" s="7" t="s">
        <v>14</v>
      </c>
      <c r="I9" s="8">
        <v>51509.52</v>
      </c>
      <c r="K9" s="7" t="s">
        <v>145</v>
      </c>
      <c r="L9" s="8">
        <v>47322.349999999991</v>
      </c>
    </row>
    <row r="10" spans="1:12" x14ac:dyDescent="0.25">
      <c r="A10" s="7" t="s">
        <v>46</v>
      </c>
      <c r="B10" s="8">
        <v>21846.35</v>
      </c>
      <c r="E10" s="7" t="s">
        <v>21</v>
      </c>
      <c r="F10" s="8">
        <v>156466.77000000002</v>
      </c>
      <c r="H10" s="7" t="s">
        <v>60</v>
      </c>
      <c r="I10" s="8">
        <v>79934.310000000012</v>
      </c>
      <c r="K10" s="7" t="s">
        <v>146</v>
      </c>
      <c r="L10" s="8">
        <v>62559.839999999997</v>
      </c>
    </row>
    <row r="11" spans="1:12" x14ac:dyDescent="0.25">
      <c r="A11" s="7" t="s">
        <v>53</v>
      </c>
      <c r="B11" s="8">
        <v>30592.859999999993</v>
      </c>
      <c r="E11" s="7" t="s">
        <v>43</v>
      </c>
      <c r="F11" s="8">
        <v>105069.5</v>
      </c>
      <c r="H11" s="7" t="s">
        <v>52</v>
      </c>
      <c r="I11" s="8">
        <v>15214.53</v>
      </c>
      <c r="K11" s="7" t="s">
        <v>153</v>
      </c>
      <c r="L11" s="8">
        <v>19909.03</v>
      </c>
    </row>
    <row r="12" spans="1:12" x14ac:dyDescent="0.25">
      <c r="A12" s="7" t="s">
        <v>143</v>
      </c>
      <c r="B12" s="8">
        <v>491075.12999999995</v>
      </c>
      <c r="E12" s="7" t="s">
        <v>15</v>
      </c>
      <c r="F12" s="8">
        <v>99449.71</v>
      </c>
      <c r="H12" s="7" t="s">
        <v>37</v>
      </c>
      <c r="I12" s="8">
        <v>30250.13</v>
      </c>
      <c r="K12" s="7" t="s">
        <v>147</v>
      </c>
      <c r="L12" s="8">
        <v>44310.17</v>
      </c>
    </row>
    <row r="13" spans="1:12" x14ac:dyDescent="0.25">
      <c r="E13" s="7" t="s">
        <v>40</v>
      </c>
      <c r="F13" s="8">
        <v>130089.14999999998</v>
      </c>
      <c r="H13" s="7" t="s">
        <v>39</v>
      </c>
      <c r="I13" s="8">
        <v>64299.18</v>
      </c>
      <c r="K13" s="7" t="s">
        <v>148</v>
      </c>
      <c r="L13" s="8">
        <v>22554.239999999998</v>
      </c>
    </row>
    <row r="14" spans="1:12" x14ac:dyDescent="0.25">
      <c r="E14" s="7" t="s">
        <v>143</v>
      </c>
      <c r="F14" s="8">
        <v>491075.13</v>
      </c>
      <c r="H14" s="7" t="s">
        <v>91</v>
      </c>
      <c r="I14" s="8">
        <v>27597.87</v>
      </c>
      <c r="K14" s="7" t="s">
        <v>156</v>
      </c>
      <c r="L14" s="8">
        <v>24101.27</v>
      </c>
    </row>
    <row r="15" spans="1:12" x14ac:dyDescent="0.25">
      <c r="H15" s="7" t="s">
        <v>29</v>
      </c>
      <c r="I15" s="8">
        <v>59508.799999999996</v>
      </c>
      <c r="K15" s="7" t="s">
        <v>154</v>
      </c>
      <c r="L15" s="8">
        <v>33977.269999999997</v>
      </c>
    </row>
    <row r="16" spans="1:12" x14ac:dyDescent="0.25">
      <c r="H16" s="7" t="s">
        <v>34</v>
      </c>
      <c r="I16" s="8">
        <v>57207.4</v>
      </c>
      <c r="K16" s="7" t="s">
        <v>149</v>
      </c>
      <c r="L16" s="8">
        <v>50714.99</v>
      </c>
    </row>
    <row r="17" spans="8:12" x14ac:dyDescent="0.25">
      <c r="H17" s="7" t="s">
        <v>20</v>
      </c>
      <c r="I17" s="8">
        <v>35277.78</v>
      </c>
      <c r="K17" s="7" t="s">
        <v>155</v>
      </c>
      <c r="L17" s="8">
        <v>42323.599999999991</v>
      </c>
    </row>
    <row r="18" spans="8:12" x14ac:dyDescent="0.25">
      <c r="H18" s="7" t="s">
        <v>143</v>
      </c>
      <c r="I18" s="8">
        <v>491075.13</v>
      </c>
      <c r="K18" s="7" t="s">
        <v>150</v>
      </c>
      <c r="L18" s="8">
        <v>47650.590000000004</v>
      </c>
    </row>
    <row r="19" spans="8:12" x14ac:dyDescent="0.25">
      <c r="K19" s="7" t="s">
        <v>151</v>
      </c>
      <c r="L19" s="8">
        <v>40175.599999999999</v>
      </c>
    </row>
    <row r="20" spans="8:12" x14ac:dyDescent="0.25">
      <c r="K20" s="7" t="s">
        <v>152</v>
      </c>
      <c r="L20" s="8">
        <v>55476.180000000008</v>
      </c>
    </row>
    <row r="21" spans="8:12" x14ac:dyDescent="0.25">
      <c r="K21" s="7" t="s">
        <v>143</v>
      </c>
      <c r="L21" s="8">
        <v>491075.12999999995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58C4-2435-47FD-8191-DFD6B20AFBDA}">
  <dimension ref="A1:W34"/>
  <sheetViews>
    <sheetView showGridLines="0" tabSelected="1" topLeftCell="A11" zoomScale="80" zoomScaleNormal="80" workbookViewId="0">
      <selection activeCell="Y23" sqref="Y23"/>
    </sheetView>
  </sheetViews>
  <sheetFormatPr defaultRowHeight="15" x14ac:dyDescent="0.25"/>
  <cols>
    <col min="23" max="23" width="4.28515625" customWidth="1"/>
  </cols>
  <sheetData>
    <row r="1" spans="1:23" ht="41.25" customHeight="1" x14ac:dyDescent="0.25">
      <c r="A1" s="15" t="s">
        <v>158</v>
      </c>
      <c r="B1" s="16"/>
      <c r="C1" s="16"/>
      <c r="D1" s="16"/>
      <c r="E1" s="16"/>
      <c r="F1" s="16"/>
      <c r="G1" s="16"/>
      <c r="H1" s="17"/>
      <c r="I1" s="9"/>
      <c r="J1" s="9"/>
      <c r="K1" s="9"/>
      <c r="L1" s="10"/>
      <c r="M1" s="11"/>
      <c r="N1" s="11"/>
      <c r="O1" s="11"/>
      <c r="P1" s="11"/>
      <c r="Q1" s="11"/>
      <c r="R1" s="11"/>
      <c r="S1" s="11"/>
      <c r="T1" s="11"/>
      <c r="U1" s="11"/>
      <c r="V1" s="11"/>
      <c r="W1" s="11"/>
    </row>
    <row r="2" spans="1:23" ht="34.5" customHeight="1" x14ac:dyDescent="0.25">
      <c r="A2" s="18"/>
      <c r="B2" s="19"/>
      <c r="C2" s="19"/>
      <c r="D2" s="19"/>
      <c r="E2" s="19"/>
      <c r="F2" s="19"/>
      <c r="G2" s="19"/>
      <c r="H2" s="20"/>
      <c r="I2" s="12"/>
      <c r="J2" s="12"/>
      <c r="K2" s="12"/>
      <c r="L2" s="13"/>
      <c r="M2" s="11"/>
      <c r="N2" s="11"/>
      <c r="O2" s="11"/>
      <c r="P2" s="11"/>
      <c r="Q2" s="11"/>
      <c r="R2" s="11"/>
      <c r="S2" s="11"/>
      <c r="T2" s="11"/>
      <c r="U2" s="11"/>
      <c r="V2" s="11"/>
      <c r="W2" s="11"/>
    </row>
    <row r="3" spans="1:23" ht="10.5" customHeight="1" thickBot="1" x14ac:dyDescent="0.3">
      <c r="A3" s="21"/>
      <c r="B3" s="22"/>
      <c r="C3" s="22"/>
      <c r="D3" s="22"/>
      <c r="E3" s="22"/>
      <c r="F3" s="22"/>
      <c r="G3" s="22"/>
      <c r="H3" s="23"/>
      <c r="I3" s="12"/>
      <c r="J3" s="12"/>
      <c r="K3" s="12"/>
      <c r="L3" s="13"/>
      <c r="M3" s="11"/>
      <c r="N3" s="11"/>
      <c r="O3" s="11"/>
      <c r="P3" s="11"/>
      <c r="Q3" s="11"/>
      <c r="R3" s="11"/>
      <c r="S3" s="11"/>
      <c r="T3" s="11"/>
      <c r="U3" s="11"/>
      <c r="V3" s="11"/>
      <c r="W3" s="11"/>
    </row>
    <row r="4" spans="1:23" x14ac:dyDescent="0.25">
      <c r="A4" s="12"/>
      <c r="B4" s="12"/>
      <c r="C4" s="12"/>
      <c r="D4" s="12"/>
      <c r="E4" s="12"/>
      <c r="F4" s="12"/>
      <c r="G4" s="12"/>
      <c r="H4" s="12"/>
      <c r="I4" s="12"/>
      <c r="J4" s="12"/>
      <c r="K4" s="12"/>
      <c r="L4" s="12"/>
      <c r="M4" s="14"/>
      <c r="N4" s="14"/>
      <c r="O4" s="14"/>
      <c r="P4" s="14"/>
      <c r="Q4" s="14"/>
      <c r="R4" s="14"/>
      <c r="S4" s="14"/>
      <c r="T4" s="14"/>
      <c r="U4" s="14"/>
      <c r="V4" s="14"/>
      <c r="W4" s="11"/>
    </row>
    <row r="5" spans="1:23" x14ac:dyDescent="0.25">
      <c r="A5" s="12"/>
      <c r="B5" s="12"/>
      <c r="C5" s="12"/>
      <c r="D5" s="12"/>
      <c r="E5" s="12"/>
      <c r="F5" s="12"/>
      <c r="G5" s="12"/>
      <c r="H5" s="12"/>
      <c r="I5" s="12"/>
      <c r="J5" s="12"/>
      <c r="K5" s="12"/>
      <c r="L5" s="12"/>
      <c r="M5" s="14"/>
      <c r="N5" s="14"/>
      <c r="O5" s="14"/>
      <c r="P5" s="14"/>
      <c r="Q5" s="14"/>
      <c r="R5" s="14"/>
      <c r="S5" s="14"/>
      <c r="T5" s="14"/>
      <c r="U5" s="14"/>
      <c r="V5" s="14"/>
      <c r="W5" s="11"/>
    </row>
    <row r="6" spans="1:23" x14ac:dyDescent="0.25">
      <c r="A6" s="12"/>
      <c r="B6" s="12"/>
      <c r="C6" s="12"/>
      <c r="D6" s="12"/>
      <c r="E6" s="12"/>
      <c r="F6" s="12"/>
      <c r="G6" s="12"/>
      <c r="H6" s="12"/>
      <c r="I6" s="12"/>
      <c r="J6" s="12"/>
      <c r="K6" s="12"/>
      <c r="L6" s="12"/>
      <c r="M6" s="14"/>
      <c r="N6" s="14"/>
      <c r="O6" s="14"/>
      <c r="P6" s="14"/>
      <c r="Q6" s="14"/>
      <c r="R6" s="14"/>
      <c r="S6" s="14"/>
      <c r="T6" s="14"/>
      <c r="U6" s="14"/>
      <c r="V6" s="14"/>
      <c r="W6" s="11"/>
    </row>
    <row r="7" spans="1:23" x14ac:dyDescent="0.25">
      <c r="A7" s="14"/>
      <c r="B7" s="14"/>
      <c r="C7" s="14"/>
      <c r="D7" s="14"/>
      <c r="E7" s="14"/>
      <c r="F7" s="14"/>
      <c r="G7" s="14"/>
      <c r="H7" s="14"/>
      <c r="I7" s="14"/>
      <c r="J7" s="14"/>
      <c r="K7" s="14"/>
      <c r="L7" s="14"/>
      <c r="M7" s="14"/>
      <c r="N7" s="14"/>
      <c r="O7" s="14"/>
      <c r="P7" s="14"/>
      <c r="Q7" s="14"/>
      <c r="R7" s="14"/>
      <c r="S7" s="14"/>
      <c r="T7" s="14"/>
      <c r="U7" s="14"/>
      <c r="V7" s="14"/>
      <c r="W7" s="11"/>
    </row>
    <row r="8" spans="1:23" x14ac:dyDescent="0.25">
      <c r="A8" s="14"/>
      <c r="B8" s="14"/>
      <c r="C8" s="14"/>
      <c r="D8" s="14"/>
      <c r="E8" s="14"/>
      <c r="F8" s="14"/>
      <c r="G8" s="14"/>
      <c r="H8" s="14"/>
      <c r="I8" s="14"/>
      <c r="J8" s="14"/>
      <c r="K8" s="14"/>
      <c r="L8" s="14"/>
      <c r="M8" s="14"/>
      <c r="N8" s="14"/>
      <c r="O8" s="14"/>
      <c r="P8" s="14"/>
      <c r="Q8" s="14"/>
      <c r="R8" s="14"/>
      <c r="S8" s="14"/>
      <c r="T8" s="14"/>
      <c r="U8" s="14"/>
      <c r="V8" s="14"/>
      <c r="W8" s="11"/>
    </row>
    <row r="9" spans="1:23" x14ac:dyDescent="0.25">
      <c r="A9" s="14"/>
      <c r="B9" s="14"/>
      <c r="C9" s="14"/>
      <c r="D9" s="14"/>
      <c r="E9" s="14"/>
      <c r="F9" s="14"/>
      <c r="G9" s="14"/>
      <c r="H9" s="14"/>
      <c r="I9" s="14"/>
      <c r="J9" s="14"/>
      <c r="K9" s="14"/>
      <c r="L9" s="14"/>
      <c r="M9" s="14"/>
      <c r="N9" s="14"/>
      <c r="O9" s="14"/>
      <c r="P9" s="14"/>
      <c r="Q9" s="14"/>
      <c r="R9" s="14"/>
      <c r="S9" s="14"/>
      <c r="T9" s="14"/>
      <c r="U9" s="14"/>
      <c r="V9" s="14"/>
      <c r="W9" s="11"/>
    </row>
    <row r="10" spans="1:23" x14ac:dyDescent="0.25">
      <c r="A10" s="14"/>
      <c r="B10" s="14"/>
      <c r="C10" s="14"/>
      <c r="D10" s="14"/>
      <c r="E10" s="14"/>
      <c r="F10" s="14"/>
      <c r="G10" s="14"/>
      <c r="H10" s="14"/>
      <c r="I10" s="14"/>
      <c r="J10" s="14"/>
      <c r="K10" s="14"/>
      <c r="L10" s="14"/>
      <c r="M10" s="14"/>
      <c r="N10" s="14"/>
      <c r="O10" s="14"/>
      <c r="P10" s="14"/>
      <c r="Q10" s="14"/>
      <c r="R10" s="14"/>
      <c r="S10" s="14"/>
      <c r="T10" s="14"/>
      <c r="U10" s="14"/>
      <c r="V10" s="14"/>
      <c r="W10" s="11"/>
    </row>
    <row r="11" spans="1:23" x14ac:dyDescent="0.25">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25">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25">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25">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25">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25">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5">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5">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5">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5">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25">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25">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25">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25">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25">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25">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25">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25">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2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25">
      <c r="A30" s="11"/>
      <c r="B30" s="11"/>
      <c r="C30" s="11"/>
      <c r="D30" s="11"/>
      <c r="E30" s="11"/>
      <c r="F30" s="11"/>
      <c r="G30" s="11"/>
      <c r="H30" s="11"/>
      <c r="I30" s="11"/>
      <c r="J30" s="11"/>
      <c r="K30" s="11"/>
      <c r="L30" s="11"/>
      <c r="M30" s="11"/>
      <c r="N30" s="11"/>
      <c r="O30" s="11"/>
      <c r="P30" s="11"/>
      <c r="Q30" s="11"/>
      <c r="R30" s="11"/>
      <c r="S30" s="11"/>
      <c r="T30" s="11"/>
      <c r="U30" s="11"/>
      <c r="V30" s="11"/>
      <c r="W30" s="11"/>
    </row>
    <row r="31" spans="1:23" x14ac:dyDescent="0.25">
      <c r="A31" s="11"/>
      <c r="B31" s="11"/>
      <c r="C31" s="11"/>
      <c r="D31" s="11"/>
      <c r="E31" s="11"/>
      <c r="F31" s="11"/>
      <c r="G31" s="11"/>
      <c r="H31" s="11"/>
      <c r="I31" s="11"/>
      <c r="J31" s="11"/>
      <c r="K31" s="11"/>
      <c r="L31" s="11"/>
      <c r="M31" s="11"/>
      <c r="N31" s="11"/>
      <c r="O31" s="11"/>
      <c r="P31" s="11"/>
      <c r="Q31" s="11"/>
      <c r="R31" s="11"/>
      <c r="S31" s="11"/>
      <c r="T31" s="11"/>
      <c r="U31" s="11"/>
      <c r="V31" s="11"/>
      <c r="W31" s="11"/>
    </row>
    <row r="32" spans="1:23" x14ac:dyDescent="0.25">
      <c r="A32" s="11"/>
      <c r="B32" s="11"/>
      <c r="C32" s="11"/>
      <c r="D32" s="11"/>
      <c r="E32" s="11"/>
      <c r="F32" s="11"/>
      <c r="G32" s="11"/>
      <c r="H32" s="11"/>
      <c r="I32" s="11"/>
      <c r="J32" s="11"/>
      <c r="K32" s="11"/>
      <c r="L32" s="11"/>
      <c r="M32" s="11"/>
      <c r="N32" s="11"/>
      <c r="O32" s="11"/>
      <c r="P32" s="11"/>
      <c r="Q32" s="11"/>
      <c r="R32" s="11"/>
      <c r="S32" s="11"/>
      <c r="T32" s="11"/>
      <c r="U32" s="11"/>
      <c r="V32" s="11"/>
      <c r="W32" s="11"/>
    </row>
    <row r="33" spans="1:23" x14ac:dyDescent="0.25">
      <c r="A33" s="11"/>
      <c r="B33" s="11"/>
      <c r="C33" s="11"/>
      <c r="D33" s="11"/>
      <c r="E33" s="11"/>
      <c r="F33" s="11"/>
      <c r="G33" s="11"/>
      <c r="H33" s="11"/>
      <c r="I33" s="11"/>
      <c r="J33" s="11"/>
      <c r="K33" s="11"/>
      <c r="L33" s="11"/>
      <c r="M33" s="11"/>
      <c r="N33" s="11"/>
      <c r="O33" s="11"/>
      <c r="P33" s="11"/>
      <c r="Q33" s="11"/>
      <c r="R33" s="11"/>
      <c r="S33" s="11"/>
      <c r="T33" s="11"/>
      <c r="U33" s="11"/>
      <c r="V33" s="11"/>
      <c r="W33" s="11"/>
    </row>
    <row r="34" spans="1:23" x14ac:dyDescent="0.25">
      <c r="A34" s="11"/>
      <c r="B34" s="11"/>
      <c r="C34" s="11"/>
      <c r="D34" s="11"/>
      <c r="E34" s="11"/>
      <c r="F34" s="11"/>
      <c r="G34" s="11"/>
      <c r="H34" s="11"/>
      <c r="I34" s="11"/>
      <c r="J34" s="11"/>
      <c r="K34" s="11"/>
      <c r="L34" s="11"/>
      <c r="M34" s="11"/>
      <c r="N34" s="11"/>
      <c r="O34" s="11"/>
      <c r="P34" s="11"/>
      <c r="Q34" s="11"/>
      <c r="R34" s="11"/>
      <c r="S34" s="11"/>
      <c r="T34" s="11"/>
      <c r="U34" s="11"/>
      <c r="V34" s="11"/>
      <c r="W34" s="11"/>
    </row>
  </sheetData>
  <mergeCells count="1">
    <mergeCell ref="A1:H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Table</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Sudeshna Dutta</dc:creator>
  <cp:lastModifiedBy>Sudeshna Dutta</cp:lastModifiedBy>
  <dcterms:created xsi:type="dcterms:W3CDTF">2025-12-04T04:32:14Z</dcterms:created>
  <dcterms:modified xsi:type="dcterms:W3CDTF">2025-12-04T07:43:10Z</dcterms:modified>
</cp:coreProperties>
</file>