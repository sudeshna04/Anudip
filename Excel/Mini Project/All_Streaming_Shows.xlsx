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Anudip\Excel\Tasks\MiniProject\Web Series\"/>
    </mc:Choice>
  </mc:AlternateContent>
  <xr:revisionPtr revIDLastSave="0" documentId="13_ncr:1_{3130B632-6F65-4D28-BC29-425DC3033DE7}" xr6:coauthVersionLast="47" xr6:coauthVersionMax="47" xr10:uidLastSave="{00000000-0000-0000-0000-000000000000}"/>
  <bookViews>
    <workbookView xWindow="-120" yWindow="-120" windowWidth="20730" windowHeight="11160" tabRatio="679" activeTab="1" xr2:uid="{00000000-000D-0000-FFFF-FFFF00000000}"/>
  </bookViews>
  <sheets>
    <sheet name="All_Streaming_Shows" sheetId="1" r:id="rId1"/>
    <sheet name="Formula&amp;Function" sheetId="2" r:id="rId2"/>
    <sheet name="Conditional Function" sheetId="3" r:id="rId3"/>
    <sheet name="Vlookup" sheetId="4" r:id="rId4"/>
    <sheet name="For Hlookup" sheetId="11" r:id="rId5"/>
    <sheet name="Hlookup" sheetId="5" r:id="rId6"/>
    <sheet name="Index+Match" sheetId="6" r:id="rId7"/>
    <sheet name="Conditional Formatting" sheetId="7" r:id="rId8"/>
    <sheet name="Sort&amp;Filter" sheetId="8" r:id="rId9"/>
    <sheet name="Pivot" sheetId="9" r:id="rId10"/>
    <sheet name="Ans 1" sheetId="16" r:id="rId11"/>
    <sheet name="Ans 2" sheetId="18" r:id="rId12"/>
    <sheet name="Ans 3" sheetId="20" r:id="rId13"/>
    <sheet name="Ans 4" sheetId="17" r:id="rId14"/>
    <sheet name="Ans 5" sheetId="22" r:id="rId15"/>
    <sheet name="Ans 6" sheetId="21" r:id="rId16"/>
    <sheet name="Ans 7" sheetId="23" r:id="rId17"/>
    <sheet name="Dashboard" sheetId="24" r:id="rId18"/>
  </sheets>
  <definedNames>
    <definedName name="_xlnm._FilterDatabase" localSheetId="8" hidden="1">'Sort&amp;Filter'!$A$11:$B$61</definedName>
    <definedName name="_xlnm.Criteria" localSheetId="8">'Sort&amp;Filter'!$K$11:$L$12</definedName>
    <definedName name="_xlnm.Extract" localSheetId="8">'Sort&amp;Filter'!$K$14:$S$14</definedName>
    <definedName name="series">All_Streaming_Shows!$A$1:$I$200</definedName>
    <definedName name="seriesH">'For Hlookup'!$A$1:$Z$9</definedName>
    <definedName name="Slicer_Content_Rating">#N/A</definedName>
    <definedName name="Slicer_Genre2">#N/A</definedName>
    <definedName name="Slicer_Streaming_Platform2">#N/A</definedName>
  </definedNames>
  <calcPr calcId="191029"/>
  <pivotCaches>
    <pivotCache cacheId="0" r:id="rId19"/>
    <pivotCache cacheId="1"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2" l="1"/>
  <c r="C11" i="5"/>
  <c r="G13" i="6"/>
  <c r="G14" i="6"/>
  <c r="G15" i="6"/>
  <c r="G16" i="6"/>
  <c r="G17" i="6"/>
  <c r="G18" i="6"/>
  <c r="G19" i="6"/>
  <c r="G20" i="6"/>
  <c r="G21" i="6"/>
  <c r="G22" i="6"/>
  <c r="G12" i="6"/>
  <c r="F13" i="6"/>
  <c r="F14" i="6"/>
  <c r="F15" i="6"/>
  <c r="F16" i="6"/>
  <c r="F17" i="6"/>
  <c r="F18" i="6"/>
  <c r="F19" i="6"/>
  <c r="F20" i="6"/>
  <c r="F21" i="6"/>
  <c r="F22" i="6"/>
  <c r="F12" i="6"/>
  <c r="E13" i="6"/>
  <c r="E14" i="6"/>
  <c r="E15" i="6"/>
  <c r="E16" i="6"/>
  <c r="E17" i="6"/>
  <c r="E18" i="6"/>
  <c r="E19" i="6"/>
  <c r="E20" i="6"/>
  <c r="E21" i="6"/>
  <c r="E22" i="6"/>
  <c r="D13" i="6"/>
  <c r="D14" i="6"/>
  <c r="D15" i="6"/>
  <c r="D16" i="6"/>
  <c r="D17" i="6"/>
  <c r="D18" i="6"/>
  <c r="D19" i="6"/>
  <c r="D20" i="6"/>
  <c r="D21" i="6"/>
  <c r="D22" i="6"/>
  <c r="C13" i="6"/>
  <c r="C14" i="6"/>
  <c r="C15" i="6"/>
  <c r="C16" i="6"/>
  <c r="C17" i="6"/>
  <c r="C18" i="6"/>
  <c r="C19" i="6"/>
  <c r="C20" i="6"/>
  <c r="C21" i="6"/>
  <c r="C22" i="6"/>
  <c r="D12" i="6"/>
  <c r="E12" i="6"/>
  <c r="C12" i="6"/>
  <c r="B13" i="6"/>
  <c r="B14" i="6"/>
  <c r="B15" i="6"/>
  <c r="B16" i="6"/>
  <c r="B17" i="6"/>
  <c r="B18" i="6"/>
  <c r="B19" i="6"/>
  <c r="B20" i="6"/>
  <c r="B21" i="6"/>
  <c r="B22" i="6"/>
  <c r="B12" i="6"/>
  <c r="D16" i="5"/>
  <c r="E16" i="5"/>
  <c r="F16" i="5"/>
  <c r="G16" i="5"/>
  <c r="D15" i="5"/>
  <c r="E15" i="5"/>
  <c r="F15" i="5"/>
  <c r="G15" i="5"/>
  <c r="D14" i="5"/>
  <c r="E14" i="5"/>
  <c r="F14" i="5"/>
  <c r="G14" i="5"/>
  <c r="D13" i="5"/>
  <c r="E13" i="5"/>
  <c r="F13" i="5"/>
  <c r="G13" i="5"/>
  <c r="C16" i="5"/>
  <c r="C15" i="5"/>
  <c r="C14" i="5"/>
  <c r="C13" i="5"/>
  <c r="D12" i="5"/>
  <c r="E12" i="5"/>
  <c r="F12" i="5"/>
  <c r="G12" i="5"/>
  <c r="C12" i="5"/>
  <c r="E11" i="5"/>
  <c r="F11" i="5"/>
  <c r="G11" i="5"/>
  <c r="D11" i="5"/>
  <c r="G14" i="4"/>
  <c r="G15" i="4"/>
  <c r="G16" i="4"/>
  <c r="G17" i="4"/>
  <c r="G13" i="4"/>
  <c r="F14" i="4"/>
  <c r="F15" i="4"/>
  <c r="F16" i="4"/>
  <c r="F17" i="4"/>
  <c r="F13" i="4"/>
  <c r="E14" i="4"/>
  <c r="E15" i="4"/>
  <c r="E16" i="4"/>
  <c r="E17" i="4"/>
  <c r="E13" i="4"/>
  <c r="D14" i="4"/>
  <c r="D15" i="4"/>
  <c r="D16" i="4"/>
  <c r="D17" i="4"/>
  <c r="D13" i="4"/>
  <c r="B14" i="4"/>
  <c r="B15" i="4"/>
  <c r="B16" i="4"/>
  <c r="B17" i="4"/>
  <c r="C14" i="4"/>
  <c r="C15" i="4"/>
  <c r="C16" i="4"/>
  <c r="C17" i="4"/>
  <c r="C13" i="4"/>
  <c r="B13" i="4"/>
  <c r="C9" i="3" l="1"/>
  <c r="C8" i="3"/>
  <c r="C7" i="3"/>
  <c r="C6" i="3"/>
  <c r="C5" i="3"/>
  <c r="C4" i="3"/>
  <c r="C3" i="3"/>
  <c r="C2" i="3"/>
  <c r="C9" i="2"/>
  <c r="C8" i="2"/>
  <c r="C7" i="2"/>
  <c r="C6" i="2"/>
  <c r="C5" i="2"/>
  <c r="C4" i="2"/>
  <c r="C3" i="2"/>
</calcChain>
</file>

<file path=xl/sharedStrings.xml><?xml version="1.0" encoding="utf-8"?>
<sst xmlns="http://schemas.openxmlformats.org/spreadsheetml/2006/main" count="2821" uniqueCount="866">
  <si>
    <t>Series Title</t>
  </si>
  <si>
    <t>Year Released</t>
  </si>
  <si>
    <t>Content Rating</t>
  </si>
  <si>
    <t>IMDB Rating</t>
  </si>
  <si>
    <t>R Rating</t>
  </si>
  <si>
    <t>Genre</t>
  </si>
  <si>
    <t>Description</t>
  </si>
  <si>
    <t>No of Seasons</t>
  </si>
  <si>
    <t>Streaming Platform</t>
  </si>
  <si>
    <t>Breaking Bad</t>
  </si>
  <si>
    <t>18+</t>
  </si>
  <si>
    <t>Crime,Drama</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</si>
  <si>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crime.Breaking Bad featuring Bryan Cranston and Aaron Paul has one or more episodes streaming with subscription on Netflix, available for purchase on iTunes, available for purchase on Google Play, and 3 others. It's a crime and drama show with 62 episodes over 5 seasons. Breaking Bad is no longer running and has no plans to air new episodes or seasons. It has a very high IMDb audience rating of 9.5 (1,391,409 votes) and was very well received by critics.</t>
  </si>
  <si>
    <t>5Seasons</t>
  </si>
  <si>
    <t>Netflix</t>
  </si>
  <si>
    <t>Game of Thrones</t>
  </si>
  <si>
    <t>Action &amp; Adventure,Drama</t>
  </si>
  <si>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beyond.Game of Thrones featuring Emilia Clarke and Lena Headey has one or more episodes streaming with subscription on HBO MAX, streaming on HBO, available for purchase on iTunes, and 5 others. It's an action &amp; adventure and drama show with 74 episodes over 8 seasons. Game of Thrones is no longer running and has no plans to air new episodes or seasons. It has a very high IMDb audience rating of 9.3 (1,704,731 votes) and was very well received by critics.</t>
  </si>
  <si>
    <t>8Seasons</t>
  </si>
  <si>
    <t>HBO MAX,HBO</t>
  </si>
  <si>
    <t>Rick and Morty</t>
  </si>
  <si>
    <t>Animation,Comedy</t>
  </si>
  <si>
    <t>Rick is a mentally-unbalanced but scientifically-gifted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school.Rick and Morty featuring Justin Roiland and Chris Parnell has one or more episodes streaming with subscription on HBO MAX, streaming with subscription on Hulu, streaming via tv everywhere with Adult Swim (Via Cable/Satellite Provider), and 8 others. It's an action &amp; adventure and animation show with 42 episodes over 4 seasons. Rick and Morty is still airing with no announced date for the next episode or season. It has a very high IMDb audience rating of 9.2 (354,057 votes) and was very well received by critics.</t>
  </si>
  <si>
    <t>4Seasons</t>
  </si>
  <si>
    <t>Free Services,HBO MAX,Hulu</t>
  </si>
  <si>
    <t>Stranger Things</t>
  </si>
  <si>
    <t>16+</t>
  </si>
  <si>
    <t>Drama,Fantasy</t>
  </si>
  <si>
    <t>When a young boy vanishes, a small town uncovers a mystery involving secret experiments, terrifying supernatural forces, and one strange little girl.Stranger Things featuring Winona Ryder and David Harbour has one or more episodes streaming with subscription on Netflix. It's an action &amp; adventure and drama show with 25 episodes over 3 seasons. Stranger Things is still airing with no announced date for the next episode or season. It has a high IMDb audience rating of 8.8 (766,806 votes) and was very well received by critics.</t>
  </si>
  <si>
    <t>3Seasons</t>
  </si>
  <si>
    <t>The Boys</t>
  </si>
  <si>
    <t>Action &amp; Adventure,Comedy</t>
  </si>
  <si>
    <t>A group of vigilantes known informally as “The Boys” set out to take down corrupt superheroes with no more than blue-collar grit and a willingness to fight dirty.The Boys featuring Karl Urban and Jack Quaid has one or more episodes streaming with subscription on Prime Video, and available for purchase on VUDU. It's an action &amp; adventure and comedy show with 12 episodes over 2 seasons. The Boys has a new episode airing on September 17th, 2020 (PDT). It has a high IMDb audience rating of 8.7 (170,705 votes) and was very well received by critics.</t>
  </si>
  <si>
    <t>2Seasons</t>
  </si>
  <si>
    <t>Prime Video</t>
  </si>
  <si>
    <t>Dark</t>
  </si>
  <si>
    <t>A missing child causes four families to help each other for answers. What they could not imagine is that this mystery would be connected to innumerable other secrets of the small town.Dark has one or more episodes streaming with subscription on Netflix. It's a crime and drama show with 26 episodes over 3 seasons. Dark is no longer running and has no plans to air new episodes or seasons. It has a high IMDb audience rating of 8.8 (249,219 votes) and was very well received by critics.</t>
  </si>
  <si>
    <t>Chernobyl</t>
  </si>
  <si>
    <t>Drama,History</t>
  </si>
  <si>
    <t>The true story of one of the worst man-made catastrophes in history: the catastrophic nuclear accident at Chernobyl. A tale of the brave men and women who sacrificed to save Europe from unimaginable disaster.Chernobyl featuring Jared Harris and Stellan Skarsgård has one or more episodes streaming with subscription on HBO MAX, streaming on HBO, available for purchase on Google Play, and 2 others. It's a drama and history show with 5 episodes over 1 season. Chernobyl is no longer running and has no plans to air new episodes or seasons. It has a very high IMDb audience rating of 9.4 (494,136 votes) and was very well received by critics.</t>
  </si>
  <si>
    <t>1Season</t>
  </si>
  <si>
    <t>Sherlock</t>
  </si>
  <si>
    <t>Action &amp; Adventure,Crime</t>
  </si>
  <si>
    <t>A modern update finds the famous sleuth and his doctor partner solving crime in 21st century London.Sherlock featuring Benedict Cumberbatch and Martin Freeman has one or more episodes streaming with subscription on Netflix, available for purchase on iTunes, available for purchase on Google Play, and 3 others. It's an action &amp; adventure and crime show with 13 episodes over 4 seasons. Sherlock is no longer running and has no plans to air new episodes or seasons. It has a very high IMDb audience rating of 9.1 (778,486 votes) and was well received by critics.</t>
  </si>
  <si>
    <t>Fargo</t>
  </si>
  <si>
    <t>A close-knit anthology series dealing with stories involving malice, violence and murder based in and around Minnesota.Fargo featuring Ewan McGregor and Michael Stuhlbarg has one or more episodes streaming with subscription on Hulu, available for purchase on iTunes, available for purchase on Google Play, and 3 others. It's a comedy and crime show with 30 episodes over 3 seasons. Fargo is still airing with no announced date for the next episode or season. It has a high IMDb audience rating of 8.9 (309,584 votes) and was very well received by critics.</t>
  </si>
  <si>
    <t>Hulu</t>
  </si>
  <si>
    <t>Avatar: The Last Airbender</t>
  </si>
  <si>
    <t>7+</t>
  </si>
  <si>
    <t>Action &amp; Adventure,Animation</t>
  </si>
  <si>
    <t>In a war-torn world of elemental magic, a young boy reawakens to undertake a dangerous mystic quest to fulfill his destiny as the Avatar, and bring peace to the world.Avatar: The Last Airbender featuring Olivia Hack and Jennie Kwan has one or more episodes streaming with subscription on Netflix, streaming on CBS All Access, streaming with subscription on Hoopla, and 6 others. It's an action &amp; adventure and animation show with 66 episodes over 3 seasons. Avatar: The Last Airbender is no longer running and has no plans to air new episodes or seasons. It has a very high IMDb audience rating of 9.2 (232,305 votes) and was very well received by critics.</t>
  </si>
  <si>
    <t>Netflix,CBS All Access,Hoopla</t>
  </si>
  <si>
    <t>Friends</t>
  </si>
  <si>
    <t>Comedy,Romance</t>
  </si>
  <si>
    <t>The misadventures of a group of friends as they navigate the pitfalls of work, life and love in Manhattan.Friends featuring Matthew Perry and Matt LeBlanc has one or more episodes streaming with subscription on HBO MAX, streaming with subscription on Hulu, streaming via tv everywhere with TBS, and 6 others. It's a comedy and drama show with 238 episodes over 10 seasons. Friends is no longer running and has no plans to air new episodes or seasons. It has a high IMDb audience rating of 8.9 (785,332 votes) and was well received by critics.</t>
  </si>
  <si>
    <t>10Seasons</t>
  </si>
  <si>
    <t>HBO MAX,Hulu,TBS</t>
  </si>
  <si>
    <t>The Office</t>
  </si>
  <si>
    <t>Comedy,2005</t>
  </si>
  <si>
    <t>The everyday lives of office employees in the Scranton, Pennsylvania branch of the fictional Dunder Mifflin Paper Company.The Office featuring Rainn Wilson and Jenna Fischer has one or more episodes streaming with subscription on Netflix, streaming via tv everywhere with Comedy Central (Via Cable/Satellite Provider), streaming with subscription on fuboTV, and 3 others. It's a comedy show with 224 episodes over 9 seasons. The Office is no longer running and has no plans to air new episodes or seasons. It has a high IMDb audience rating of 8.9 (378,896 votes) and was well received by critics.</t>
  </si>
  <si>
    <t>9Seasons</t>
  </si>
  <si>
    <t>Netflix,Comedy Central,fuboTV</t>
  </si>
  <si>
    <t>Supernatural</t>
  </si>
  <si>
    <t>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way.Supernatural featuring Jensen Ackles and Jared Padalecki has one or more episodes streaming with subscription on Netflix, streaming via tv everywhere with TNT, free on The CW, and 6 others. It's a drama and fantasy show with 322 episodes over 15 seasons. Supernatural has a new episode airing on October 8th, 2020 (PDT). It has a high IMDb audience rating of 8.4 (378,738 votes) and was very well received by critics.</t>
  </si>
  <si>
    <t>15 Seasons</t>
  </si>
  <si>
    <t>Free Services,Netflix,TNT</t>
  </si>
  <si>
    <t>The Wire</t>
  </si>
  <si>
    <t>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obliterated.The Wire featuring Dominic West and Lance Reddick has one or more episodes streaming with subscription on HBO MAX, streaming on HBO, available for purchase on iTunes, and 5 others. It's a crime and drama show with 60 episodes over 5 seasons. The Wire is no longer running and has no plans to air new episodes or seasons. It has a very high IMDb audience rating of 9.3 (274,706 votes) and was very well received by critics.</t>
  </si>
  <si>
    <t>Better Call Saul</t>
  </si>
  <si>
    <t>Comedy,Crime</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</si>
  <si>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lawyer".Better Call Saul featuring Bob Odenkirk and Jonathan Banks has one or more episodes streaming with subscription on Netflix, available for purchase on iTunes, available for purchase on Google Play, and 3 others. It's a comedy and crime show with 50 episodes over 5 seasons. Better Call Saul is still airing with no announced date for the next episode or season. It has a high IMDb audience rating of 8.7 (305,414 votes) and was very well received by critics.</t>
  </si>
  <si>
    <t>Attack on Titan</t>
  </si>
  <si>
    <t>Action &amp; Adventure,Anime</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</si>
  <si>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mankind.Attack on Titan featuring Yuki Kaji and Marina Inoue has one or more episodes streaming with subscription on Netflix, streaming with subscription on Hulu, streaming with subscription on Crunchyroll, and 10 others. It's an action &amp; adventure and animation show with 60 episodes over 3 seasons. Attack on Titan is still airing with no announced date for the next episode or season. It has a high IMDb audience rating of 8.8 (146,875 votes) and was very well received by critics.</t>
  </si>
  <si>
    <t>Free Services,Netflix,Hulu</t>
  </si>
  <si>
    <t>Black Mirror</t>
  </si>
  <si>
    <t>Drama,Science-Fiction</t>
  </si>
  <si>
    <t>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existence.Black Mirror has one or more episodes streaming with subscription on Netflix, and available for purchase on iTunes. It's a drama and fantasy show with 22 episodes over 5 seasons. Black Mirror is still airing with no announced date for the next episode or season. It has a high IMDb audience rating of 8.8 (417,642 votes) and was well received by critics.</t>
  </si>
  <si>
    <t>Band of Brothers</t>
  </si>
  <si>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name.Band of Brothers featuring Damian Lewis and Donnie Wahlberg has one or more episodes streaming with subscription on HBO MAX, streaming on HBO, available for purchase on iTunes, and 5 others. It's an action &amp; adventure and drama show with 10 episodes over 1 season. Band of Brothers is no longer running and has no plans to air new episodes or seasons. It has a very high IMDb audience rating of 9.4 (362,057 votes) and was very well received by critics.</t>
  </si>
  <si>
    <t>1 Season</t>
  </si>
  <si>
    <t>House</t>
  </si>
  <si>
    <t>Drama,Mystery</t>
  </si>
  <si>
    <t>Dr. Gregory House, a drug-addicted, unconventional, misanthropic medical genius, leads a team of diagnosticians at the fictional Princeton–Plainsboro Teaching Hospital in New Jersey.House featuring Hugh Laurie and Omar Epps has one or more episodes streaming with subscription on Prime Video, streaming via tv everywhere with NBC (Via Cable/Satellite Provider), free on NBC, and 3 others. It's a comedy and drama show with 180 episodes over 8 seasons. House is no longer running and has no plans to air new episodes or seasons. It has a high IMDb audience rating of 8.7 (404,083 votes) and was very well received by critics.</t>
  </si>
  <si>
    <t>Free Services,Prime Video,NBC</t>
  </si>
  <si>
    <t>Lucifer</t>
  </si>
  <si>
    <t>Fantasy,Crime</t>
  </si>
  <si>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escape.Lucifer featuring Tom Ellis and Lauren German has one or more episodes streaming with subscription on Netflix, available for purchase on iTunes, available for purchase on Google Play, and 4 others. It's a comedy and crime show with 75 episodes over 5 seasons. Lucifer is still airing with no announced date for the next episode or season. It has a high IMDb audience rating of 8.2 (209,541 votes) and was well received by critics.</t>
  </si>
  <si>
    <t>Money Heist</t>
  </si>
  <si>
    <t>Thriller,Action &amp; Adventure</t>
  </si>
  <si>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nothing.Money Heist featuring Úrsula Corberó and Álvaro Morte has one or more episodes streaming with subscription on Netflix. It's an action &amp; adventure and crime show with 38 episodes over 2 seasons. Money Heist is still airing with no announced date for the next episode or season. It has a high IMDb audience rating of 8.4 (269,489 votes) and was very well received by critics.</t>
  </si>
  <si>
    <t>Mr. Robot</t>
  </si>
  <si>
    <t>Drama,Thriller</t>
  </si>
  <si>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America.Mr. Robot featuring Rami Malek and Christian Slater has one or more episodes streaming with subscription on Prime Video, streaming via tv everywhere with USA (Via Cable/Satellite Provider), streaming with subscription on fuboTV, and 5 others. It's a crime and drama show with 45 episodes over 4 seasons. Mr. Robot is no longer running and has no plans to air new episodes or seasons. It has a high IMDb audience rating of 8.5 (321,181 votes) and was very well received by critics.</t>
  </si>
  <si>
    <t>Prime Video,USA,fuboTV</t>
  </si>
  <si>
    <t>Peaky Blinders</t>
  </si>
  <si>
    <t>A gangster family epic set in 1919 Birmingham, England and centered on a gang who sew razor blades in the peaks of their caps, and their fierce boss Tommy Shelby, who means to move up in the world.Peaky Blinders featuring Cillian Murphy and Paul Anderson has one or more episodes streaming with subscription on Netflix, available for purchase on iTunes, available for purchase on Google Play, and 3 others. It's a crime and drama show with 30 episodes over 5 seasons. Peaky Blinders is still airing with no announced date for the next episode or season. It has a high IMDb audience rating of 8.8 (308,525 votes) and was very well received by critics.</t>
  </si>
  <si>
    <t>5 Seasons</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</si>
  <si>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</si>
  <si>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Miyagi.Cobra Kai featuring Ralph Macchio and William Zabka has one or more episodes streaming with subscription on Netflix, streaming with subscription on YouTube Premium, free on YouTube Premium, and 5 others. It's an action &amp; adventure and comedy show with 20 episodes over 2 seasons. Cobra Kai is still airing with no announced date for the next episode or season. It has a high IMDb audience rating of 8.8 (57,711 votes) and was very well received by critics.</t>
  </si>
  <si>
    <t>Free Services,Netflix,YouTube Premium</t>
  </si>
  <si>
    <t>The Simpsons</t>
  </si>
  <si>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general.The Simpsons featuring Dan Castellaneta and Julie Kavner has one or more episodes streaming with subscription on Hulu, streaming via tv everywhere with FX (Via Cable/Satellite Provider), streaming with subscription on Disney+, and 7 others. It's an animation and comedy show with 684 episodes over 31 seasons. The Simpsons has a new episode airing on September 27th, 2020 (PDT). It has a high IMDb audience rating of 8.7 (356,453 votes) and was well received by critics.</t>
  </si>
  <si>
    <t>31 Seasons</t>
  </si>
  <si>
    <t>Free Services,Hulu,FX</t>
  </si>
  <si>
    <t>The Mandalorian</t>
  </si>
  <si>
    <t>Action &amp; Adventure,Science-Fiction</t>
  </si>
  <si>
    <t>After the fall of the Galactic Empire, lawlessness has spread throughout the galaxy. A lone gunfighter makes his way through the outer reaches, earning his keep as a bounty hunter.The Mandalorian featuring Pedro Pascal and Gina Carano has one or more episodes streaming with subscription on Disney+. It's an action &amp; adventure and fantasy show with 8 episodes over 1 season. The Mandalorian is still airing with no announced date for the next episode or season. It has a high IMDb audience rating of 8.7 (187,117 votes) and was very well received by critics.</t>
  </si>
  <si>
    <t>Disney+</t>
  </si>
  <si>
    <t>The Sopranos</t>
  </si>
  <si>
    <t>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Moltisanti.The Sopranos featuring James Gandolfini and Edie Falco has one or more episodes streaming with subscription on HBO MAX, streaming on HBO, available for purchase on iTunes, and 4 others. It's a crime and drama show with 86 episodes over 6 seasons. The Sopranos is no longer running and has no plans to air new episodes or seasons. It has a very high IMDb audience rating of 9.2 (287,127 votes) and was very well received by critics.</t>
  </si>
  <si>
    <t>6Seasons</t>
  </si>
  <si>
    <t>The Umbrella Academy</t>
  </si>
  <si>
    <t>A dysfunctional family of superheroes comes together to solve the mystery of their father's death, the threat of the apocalypse and more.The Umbrella Academy featuring Tom Hopper and David Castañeda has one or more episodes streaming with subscription on Netflix. It's an action &amp; adventure and comedy show with 20 episodes over 2 seasons. The Umbrella Academy is still airing with no announced date for the next episode or season. It has a high IMDb audience rating of 8.0 (132,132 votes) and was well received by critics.</t>
  </si>
  <si>
    <t>Vikings</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</si>
  <si>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warriors.Vikings featuring Alexander Ludwig and Jordan Patrick Smith has one or more episodes streaming with subscription on Prime Video, streaming with subscription on Hulu, available for purchase on iTunes, and 5 others. It's an action &amp; adventure and drama show with 80 episodes over 6 seasons. Vikings is still airing with no announced date for the next episode or season. It has a high IMDb audience rating of 8.5 (402,321 votes) and was very well received by critics.</t>
  </si>
  <si>
    <t>Prime Video,Hulu</t>
  </si>
  <si>
    <t>The Walking Dead</t>
  </si>
  <si>
    <t>Drama,Horror</t>
  </si>
  <si>
    <t>Sheriff's deputy Rick Grimes awakens from a coma to find a post-apocalyptic world dominated by flesh-eating zombies. He sets out to find his family and encounters many other survivors along the way.The Walking Dead featuring Norman Reedus and Danai Gurira has one or more episodes streaming with subscription on Netflix, streaming via tv everywhere with AMC, streaming with subscription on fuboTV, and 6 others. It's an action &amp; adventure and drama show with 146 episodes over 10 seasons. The Walking Dead has a new episode airing on October 4th, 2020 (PDT). It has a high IMDb audience rating of 8.2 (833,324 votes) and was well received by critics.</t>
  </si>
  <si>
    <t>Netflix,AMC,fuboTV</t>
  </si>
  <si>
    <t>Lost</t>
  </si>
  <si>
    <t>Stripped of everything, the survivors of a horrific plane crash must work together to stay alive. But the island holds many secrets.Lost featuring Naveen Andrews and Emilie de Ravin has one or more episodes streaming with subscription on Hulu, free on IMDb TV, available for purchase on Google Play, and 2 others. It's an action &amp; adventure and drama show with 124 episodes over 6 seasons. Lost is no longer running and has no plans to air new episodes or seasons. It has a high IMDb audience rating of 8.3 (483,722 votes) and was well received by critics.</t>
  </si>
  <si>
    <t>6 Seasons</t>
  </si>
  <si>
    <t>Free Services,Hulu</t>
  </si>
  <si>
    <t>Brooklyn Nine-Nine</t>
  </si>
  <si>
    <t>A single-camera ensemble comedy following the lives of an eclectic group of detectives in a New York precinct, including one slacker who is forced to shape up when he gets a new boss.Brooklyn Nine-Nine featuring Andy Samberg and Melissa Fumero has one or more episodes streaming with subscription on Hulu, streaming via tv everywhere with TBS, streaming via tv everywhere with NBC (Via Cable/Satellite Provider), and 7 others. It's an action &amp; adventure and comedy show with 143 episodes over 7 seasons. Brooklyn Nine-Nine is still airing with no announced date for the next episode or season. It has a high IMDb audience rating of 8.4 (206,113 votes) and was very well received by critics.</t>
  </si>
  <si>
    <t>7 Seasons</t>
  </si>
  <si>
    <t>Free Services,Hulu,TBS</t>
  </si>
  <si>
    <t>Sex Education</t>
  </si>
  <si>
    <t>Comedy,LGBTQ</t>
  </si>
  <si>
    <t>Inexperienced Otis channels his sex therapist mom when he teams up with rebellious Maeve to set up an underground sex therapy clinic at school.Sex Education featuring Asa Butterfield and Gillian Anderson has one or more episodes streaming with subscription on Netflix. It's a comedy and drama show with 16 episodes over 2 seasons. Sex Education is still airing with no announced date for the next episode or season. It has a high IMDb audience rating of 8.3 (142,383 votes) and was very well received by critics.</t>
  </si>
  <si>
    <t>Mindhunter</t>
  </si>
  <si>
    <t>An agent in the FBI's Elite Serial Crime Unit develops profiling techniques as he pursues notorious serial killers and rapists.Mindhunter featuring Jonathan Groff and Holt McCallany has one or more episodes streaming with subscription on Netflix. It's a crime and drama show with 19 episodes over 2 seasons. Mindhunter is still airing with no announced date for the next episode or season. It has a high IMDb audience rating of 8.6 (199,286 votes) and was very well received by critics.</t>
  </si>
  <si>
    <t>Dexter</t>
  </si>
  <si>
    <t>Dexter Morgan, a blood spatter pattern analyst for the Miami Metro Police also leads a secret life as a serial killer, hunting down criminals who have slipped through the cracks of justice.Dexter featuring Michael C. Hall and Jennifer Carpenter has one or more episodes streaming with subscription on Netflix, streaming on Showtime, free on Showtime FREEview, and 7 others. It's a crime and drama show with 96 episodes over 8 seasons. Dexter is no longer running and has no plans to air new episodes or seasons. It has a high IMDb audience rating of 8.6 (629,796 votes) and was well received by critics.</t>
  </si>
  <si>
    <t>Free Services,Netflix,Showtime</t>
  </si>
  <si>
    <t>Narcos</t>
  </si>
  <si>
    <t>A gritty chronicle of the war against Colombia's infamously violent and powerful drug cartels.Narcos featuring Pedro Pascal and Matias Varela has one or more episodes streaming with subscription on Netflix. It's an action &amp; adventure and biography show with 30 episodes over 3 seasons. Narcos is no longer running and has no plans to air new episodes or seasons. It has a high IMDb audience rating of 8.8 (340,614 votes) and was very well received by critics.</t>
  </si>
  <si>
    <t>Westworld</t>
  </si>
  <si>
    <t>A dark odyssey about the dawn of artificial consciousness and the evolution of sin. Set at the intersection of the near future and the reimagined past, it explores a world in which every human appetite, no matter how noble or depraved, can be indulged.Westworld featuring Evan Rachel Wood and Thandie Newton has one or more episodes streaming with subscription on HBO MAX, streaming on HBO, available for purchase on iTunes, and 4 others. It's an action &amp; adventure and drama show with 28 episodes over 3 seasons. Westworld is still airing with no announced date for the next episode or season. It has a high IMDb audience rating of 8.7 (411,111 votes) and was well received by critics.</t>
  </si>
  <si>
    <t>True Detective</t>
  </si>
  <si>
    <t>An American anthology police detective series utilizing multiple timelines in which investigations seem to unearth personal and professional secrets of those involved, both within or outside the law.True Detective featuring Mahershala Ali and Stephen Dorff has one or more episodes streaming with subscription on HBO MAX, streaming on HBO, available for purchase on iTunes, and 5 others. It's a crime and drama show with 24 episodes over 3 seasons. True Detective is still airing with no announced date for the next episode or season. It has a high IMDb audience rating of 9.0 (484,267 votes) and was well received by critics.</t>
  </si>
  <si>
    <t>South Park</t>
  </si>
  <si>
    <t>Follows the misadventures of four irreverent grade-schoolers in the quiet, dysfunctional town of South Park, Colorado.South Park featuring Trey Parker and Matt Stone has one or more episodes streaming with subscription on HBO MAX, streaming with subscription on Hulu, streaming via tv everywhere with Comedy Central (Via Cable/Satellite Provider), and 9 others. It's an animation and comedy show with 309 episodes over 23 seasons. South Park is still airing with no announced date for the next episode or season. It has a high IMDb audience rating of 8.7 (323,497 votes) and was well received by critics.</t>
  </si>
  <si>
    <t>23 Seasons</t>
  </si>
  <si>
    <t>Parks and Recreation</t>
  </si>
  <si>
    <t>Comedy,2009</t>
  </si>
  <si>
    <t>Hilarious ensemble comedy that follows Leslie Knope, a mid-level bureaucrat in the Parks and Recreation Department of Pawnee, Indiana, and her tireless efforts to make her quintessentially American town just a little bit more fun.Parks and Recreation featuring Amy Poehler and Rashida Jones has one or more episodes streaming with subscription on Netflix, streaming with subscription on Prime Video, streaming with subscription on Hulu, and 10 others. It's a comedy show with 126 episodes over 7 seasons. Parks and Recreation is no longer running and has no plans to air new episodes or seasons. It has a high IMDb audience rating of 8.6 (203,434 votes) and was very well received by critics.</t>
  </si>
  <si>
    <t>7Seasons</t>
  </si>
  <si>
    <t>Free Services,Netflix,Prime Video</t>
  </si>
  <si>
    <t>Mad Men</t>
  </si>
  <si>
    <t>Drama,2007</t>
  </si>
  <si>
    <t>Mad Men is set in the 1960s, initially at the fictional Sterling Cooper advertising agency on Madison Avenue in New York City, and later at the newly created firm, Sterling Cooper Draper Pryce, located nearby in the Time-Life Building, at 1271 Avenue of the Americas. According to the show's pilot, the phrase "mad men" was a slang term coined in the 1950s by advertisers working on Madison Avenue to refer to themselves. The focal point of the series is Don Draper, creative director at Sterling Cooper and a founding partner at Sterling Cooper Draper Pryce, and the people in his life, both in and out of the office. The plot focuses on the business of the agencies as well as the personal lives of the characters, regularly depicting the changing moods and social mores of the United States in the 1960s.Mad Men featuring John Slattery and Jon Hamm has one or more episodes streaming with subscription on Netflix, free on IMDb TV, available for purchase on iTunes, and 3 others. It's a drama show with 94 episodes over 7 seasons. Mad Men is no longer running and has no plans to air new episodes or seasons. It has a high IMDb audience rating of 8.6 (200,295 votes) and was very well received by critics.</t>
  </si>
  <si>
    <t>Free Services,Netflix</t>
  </si>
  <si>
    <t>Marvel's Daredevil</t>
  </si>
  <si>
    <t>Lawyer-by-day Matt Murdock uses his heightened senses from being blinded as a young boy to fight crime at night on the streets of Hell’s Kitchen as Daredevil.Marvel's Daredevil featuring Charlie Cox and Deborah Ann Woll has one or more episodes streaming with subscription on Netflix, available for purchase on iTunes, available for purchase on Google Play, and 4 others. It's an action &amp; adventure and crime show with 39 episodes over 3 seasons. Marvel's Daredevil is no longer running and has no plans to air new episodes or seasons. It has a high IMDb audience rating of 8.6 (353,578 votes) and was very well received by critics.</t>
  </si>
  <si>
    <t>Firefly</t>
  </si>
  <si>
    <t>In the year 2517, after the arrival of humans in a new star system, follow the adventures of the renegade crew of Serenity, a "Firefly-class" spaceship. The ensemble cast portrays the nine characters who live on Serenity.Firefly featuring Nathan Fillion and Gina Torres has one or more episodes streaming with subscription on Hulu, available for purchase on iTunes, available for purchase on Google Play, and 4 others. It's an action &amp; adventure and drama show with 14 episodes over 1 season. Firefly is no longer running and has no plans to air new episodes or seasons. It has a high IMDb audience rating of 9.0 (239,339 votes) and was well received by critics.</t>
  </si>
  <si>
    <t>Fringe</t>
  </si>
  <si>
    <t>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technology.Fringe featuring Anna Torv and Jasika Nicole has one or more episodes free on IMDb TV, available for purchase on iTunes, available for purchase on Google Play, and 4 others. It's a crime and drama show with 100 episodes over 5 seasons. Fringe is no longer running and has no plans to air new episodes or seasons. It has a high IMDb audience rating of 8.4 (215,897 votes) and was very well received by critics.</t>
  </si>
  <si>
    <t>Free Services</t>
  </si>
  <si>
    <t>Shameless</t>
  </si>
  <si>
    <t>Comedy,Drama</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</si>
  <si>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are.Shameless featuring William H. Macy and Jeremy Allen White has one or more episodes streaming with subscription on Netflix, streaming on Showtime, streaming with subscription on fuboTV, and 6 others. It's a comedy and drama show with 122 episodes over 10 seasons. Shameless is still airing with no announced date for the next episode or season. It has a high IMDb audience rating of 8.6 (193,759 votes) and was well received by critics.</t>
  </si>
  <si>
    <t>10 Seasons</t>
  </si>
  <si>
    <t>Netflix,Showtime,fuboTV</t>
  </si>
  <si>
    <t>The Big Bang Theory</t>
  </si>
  <si>
    <t>The Big Bang Theory is centered on five characters living in Pasadena, California: roommates Leonard Hofstadter and Sheldon Cooper; Penny, a waitress and aspiring actress who lives across the hall; and Leonard and Sheldon's equally geeky and socially awkward friends and co-workers, mechanical engineer Howard Wolowitz and astrophysicist Raj Koothrappali. The geekiness and intellect of the four guys is contrasted for comic effect with Penny's social skills and common sense.The Big Bang Theory featuring Jim Parsons and Johnny Galecki has one or more episodes streaming with subscription on HBO MAX, streaming with subscription on Hulu, streaming via tv everywhere with TBS, and 3 others. It's a comedy and romance show with 282 episodes over 12 seasons. The Big Bang Theory is no longer running and has no plans to air new episodes or seasons. It has a high IMDb audience rating of 8.1 (700,513 votes) and was well received by critics.</t>
  </si>
  <si>
    <t>12Seasons</t>
  </si>
  <si>
    <t>Modern Family</t>
  </si>
  <si>
    <t>The Pritchett-Dunphy-Tucker clan is a wonderfully large and blended family. They give us an honest and often hilarious look into the sometimes warm, sometimes twisted, embrace of the modern family.Modern Family featuring Ed O'Neill and Sofía Vergara has one or more episodes streaming with subscription on Hulu, streaming via tv everywhere with ABC (Via Cable/Satellite Provider), free on ABC, and 5 others. It's a comedy and drama show with 255 episodes over 11 seasons. Modern Family is no longer running and has no plans to air new episodes or seasons. It has a high IMDb audience rating of 8.4 (339,700 votes) and was well received by critics.</t>
  </si>
  <si>
    <t>11 Seasons</t>
  </si>
  <si>
    <t>Free Services,Hulu,ABC</t>
  </si>
  <si>
    <t>Suits</t>
  </si>
  <si>
    <t>Drama,Comedy</t>
  </si>
  <si>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memory.Suits featuring Gabriel Macht and Rick Hoffman has one or more episodes streaming with subscription on Prime Video, free on Peacock, available for purchase on iTunes, and 4 others. It's a comedy and drama show with 134 episodes over 9 seasons. Suits is no longer running and has no plans to air new episodes or seasons. It has a high IMDb audience rating of 8.5 (353,576 votes) and was very well received by critics.</t>
  </si>
  <si>
    <t>Free Services,Prime Video</t>
  </si>
  <si>
    <t>The Last Dance</t>
  </si>
  <si>
    <t>Documentary,Biography</t>
  </si>
  <si>
    <t>A 10-part documentary chronicling the untold story of Michael Jordan and the Chicago Bulls dynasty with rare, never-before-seen footage and sound from the 1997-98 championship season – plus over 100 interviews with famous figures and basketball’s biggest names.The Last Dance featuring Michael Jordan and Scottie Pippen has one or more episodes streaming with subscription on Netflix. It's a biography and documentary show with 10 episodes over 1 season. The Last Dance is no longer running and has no plans to air new episodes or seasons. It has a very high IMDb audience rating of 9.2 (65,724 votes) and was very well received by critics.</t>
  </si>
  <si>
    <t>Community</t>
  </si>
  <si>
    <t>Follow the lives of a group of students at what is possibly the world’s worst community college in the fictional locale of Greendale, Colorado.Community featuring Alison Brie and Joel McHale has one or more episodes streaming with subscription on Netflix, streaming with subscription on Hulu, free on Sony Crackle, and 5 others. It's a comedy show with 112 episodes over 6 seasons. Community is no longer running and has no plans to air new episodes or seasons. It has a high IMDb audience rating of 8.5 (205,783 votes) and was well received by critics.</t>
  </si>
  <si>
    <t>It's Always Sunny in Philadelphia</t>
  </si>
  <si>
    <t>Four egocentric friends who run a neighborhood Irish pub in Philadelphia try to find their way through the adult world of work and relationships. Unfortunately, their warped views and precarious judgments often lead them to trouble, creating a myriad of uncomfortable situations that usually only get worse before they get better.It's Always Sunny in Philadelphia featuring Charlie Day and Glenn Howerton has one or more episodes streaming with subscription on Hulu, streaming via tv everywhere with FX (Via Cable/Satellite Provider), streaming via tv everywhere with VICELAND (Via Cable/Satellite Provider), and 5 others. It's a comedy show with 154 episodes over 14 seasons. It's Always Sunny in Philadelphia is still airing with no announced date for the next episode or season. It has a high IMDb audience rating of 8.8 (185,015 votes) and was very well received by critics.</t>
  </si>
  <si>
    <t>14Seasons</t>
  </si>
  <si>
    <t>Hulu,FX,Viceland</t>
  </si>
  <si>
    <t>Twin Peaks</t>
  </si>
  <si>
    <t>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soul.Twin Peaks featuring Kyle MacLachlan and Alicia Witt has one or more episodes streaming with subscription on Netflix, streaming with subscription on Showtime (Via Prime Video), streaming with subscription on Hulu, and 6 others. It's a crime and drama show with 48 episodes over 3 seasons. Twin Peaks is no longer running and has no plans to air new episodes or seasons. It has a high IMDb audience rating of 8.8 (169,399 votes) and was well received by critics.</t>
  </si>
  <si>
    <t>3 Seasons</t>
  </si>
  <si>
    <t>Netflix,Showtime,Hulu</t>
  </si>
  <si>
    <t>Hannibal</t>
  </si>
  <si>
    <t>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Lecter.Hannibal featuring Hugh Dancy and Mads Mikkelsen has one or more episodes streaming with subscription on Netflix, and available for purchase on VUDU. It's a crime and drama show with 39 episodes over 3 seasons. Hannibal is no longer running and has no plans to air new episodes or seasons. It has a high IMDb audience rating of 8.5 (220,975 votes) and was very well received by critics.</t>
  </si>
  <si>
    <t>Ozark</t>
  </si>
  <si>
    <t>A financial adviser drags his family from Chicago to the Missouri Ozarks, where he must launder $500 million in five years to appease a drug boss.Ozark featuring Jason Bateman and Laura Linney has one or more episodes streaming with subscription on Netflix. It's a crime and drama show with 30 episodes over 3 seasons. Ozark is still airing with no announced date for the next episode or season. It has a high IMDb audience rating of 8.4 (170,038 votes) and was well received by critics.</t>
  </si>
  <si>
    <t>Seinfeld</t>
  </si>
  <si>
    <t>Comedy,Stand-up &amp; Talk</t>
  </si>
  <si>
    <t>A stand-up comedian and his three offbeat friends weather the pitfalls and payoffs of life in New York City in the '90s. It's a show about nothing.Seinfeld featuring Jerry Seinfeld and Jason Alexander has one or more episodes streaming with subscription on Hulu, streaming via tv everywhere with TBS, streaming with subscription on fuboTV, and 3 others. It's a Comedy and Stand up &amp; Talk show with 190 episodes over 9 seasons. Seinfeld is no longer running and has no plans to air new episodes or seasons. It has a high IMDb audience rating of 8.8 (246,958 votes) and was well received by critics.</t>
  </si>
  <si>
    <t>Hulu,TBS,fuboTV</t>
  </si>
  <si>
    <t>The Haunting</t>
  </si>
  <si>
    <t>Horror,Drama</t>
  </si>
  <si>
    <t>The Crains, a fractured family, confront haunting memories of their old home and the terrifying events that drove them from it.The Haunting featuring Michiel Huisman and Elizabeth Reaser has one or more episodes streaming with subscription on Netflix, available for purchase on Google Play, available for purchase on Prime Video, and 2 others. It's a drama and horror show with 10 episodes over 1 season. The Haunting is still airing with no announced date for the next episode or season. It has a high IMDb audience rating of 8.7 (154,025 votes) and was very well received by critics.</t>
  </si>
  <si>
    <t>Fullmetal Alchemist: Brotherhood</t>
  </si>
  <si>
    <t>Edward and Alphonse Elric's reckless disregard for alchemy's fun­damental laws ripped half of Ed's limbs from his body and left Al's soul clinging to a cold suit of armor. To restore what was lost, the brothers scour a war-torn land for the Philosopher's Sto­ne, a fabled relic which grants the ability to perform alchemy in impossible ways. The Elrics are not alone in their search; the corrupt State Military is also eager to harness the artifact's power. So too are the strange Homunculi and their shadowy creator. The mythical gem lures exotic alchemists from distant kingdoms, scarring some deeply enough to inspire murder. As the Elrics find their course altered by these enemies and allies, their purpose remains unchanged – and their bond unbreakable.Fullmetal Alchemist: Brotherhood featuring Romi Park and Rie Kugimiya has one or more episodes streaming with subscription on Netflix, streaming with subscription on HBO MAX, streaming with subscription on Hulu, and 2 others. It's an action &amp; adventure and animation show with 64 episodes over 1 season. Fullmetal Alchemist: Brotherhood is no longer running and has no plans to air new episodes or seasons. It has a very high IMDb audience rating of 9.1 (109,584 votes) and was very well received by critics.</t>
  </si>
  <si>
    <t>Free Services,Netflix,HBO MAX</t>
  </si>
  <si>
    <t>The Witcher</t>
  </si>
  <si>
    <t>Drama,Action &amp; Adventure</t>
  </si>
  <si>
    <t>Geralt of Rivia, a mutated monster-hunter for hire, journeys toward his destiny in a turbulent world where people often prove more wicked than beasts.The Witcher featuring Henry Cavill and Freya Allan has one or more episodes streaming with subscription on Netflix. It's an action &amp; adventure and drama show with 8 episodes over 1 season. The Witcher is still airing with no announced date for the next episode or season. It has a high IMDb audience rating of 8.2 (268,685 votes) and was well received by critics.</t>
  </si>
  <si>
    <t>The Fall</t>
  </si>
  <si>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Belfast.The Fall featuring Gillian Anderson and Jamie Dornan has one or more episodes streaming with subscription on Prime Video, free on Plex, free on Tubi, and 9 others. It's a crime and drama show with 29 episodes over 3 seasons. The Fall is no longer running and has no plans to air new episodes or seasons. It has a high IMDb audience rating of 8.2 (76,626 votes) and was well received by critics.</t>
  </si>
  <si>
    <t>Free Services,Prime Video,BritBox</t>
  </si>
  <si>
    <t>Homeland</t>
  </si>
  <si>
    <t>CIA officer Carrie Mathison is tops in her field despite being bipolar, which makes her volatile and unpredictable. With the help of her long-time mentor Saul Berenson, Carrie fearlessly risks everything, including her personal well-being and even sanity, at every turn.Homeland featuring Claire Danes and Mandy Patinkin has one or more episodes streaming on Showtime, free on Showtime FREEview, streaming with subscription on fuboTV, and 3 others. It's an action &amp; adventure and crime show with 98 episodes over 8 seasons. Homeland is no longer running and has no plans to air new episodes or seasons. It has a high IMDb audience rating of 8.3 (305,050 votes) and was well received by critics.</t>
  </si>
  <si>
    <t>Free Services,Showtime,fuboTV</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</si>
  <si>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</si>
  <si>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habitable.The 100 featuring Eliza Taylor and Marie Avgeropoulos has one or more episodes streaming with subscription on Netflix, free on The CW, streaming with subscription on fuboTV, and 5 others. It's an action &amp; adventure and drama show with 98 episodes over 7 seasons. The 100 has a new episode airing on September 16th, 2020 (PDT). It has a high IMDb audience rating of 7.7 (202,481 votes) and was very well received by critics.</t>
  </si>
  <si>
    <t>Free Services,Netflix,fuboTV</t>
  </si>
  <si>
    <t>How I Met Your Mother</t>
  </si>
  <si>
    <t>A father recounts to his children - through a series of flashbacks - the journey he and his four best friends took leading up to him meeting their mother.How I Met Your Mother featuring Cristin Milioti and Neil Patrick Harris has one or more episodes streaming with subscription on Hulu, available for purchase on iTunes, available for purchase on Google Play, and 4 others. It's a comedy and romance show with 209 episodes over 9 seasons. How I Met Your Mother is no longer running and has no plans to air new episodes or seasons. It has a high IMDb audience rating of 8.3 (584,275 votes) and was well received by critics.</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</si>
  <si>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</si>
  <si>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within.The Good Place featuring Kristen Bell and Ted Danson has one or more episodes streaming with subscription on Netflix, streaming with subscription on Hulu, streaming via tv everywhere with NBC (Via Cable/Satellite Provider), and 7 others. It's a comedy and drama show with 53 episodes over 4 seasons. The Good Place is no longer running and has no plans to air new episodes or seasons. It has a high IMDb audience rating of 8.2 (101,695 votes) and was very well received by critics.</t>
  </si>
  <si>
    <t>The Expanse</t>
  </si>
  <si>
    <t>A thriller set two hundred years in the future following the case of a missing young woman who brings a hardened detective and a rogue ship's captain together in a race across the solar system to expose the greatest conspiracy in human history.The Expanse featuring Steven Strait and Cas Anvar has one or more episodes streaming with subscription on Prime Video, available for purchase on iTunes, available for purchase on Google Play, and 3 others. It's an action &amp; adventure and drama show with 46 episodes over 4 seasons. The Expanse is still airing with no announced date for the next episode or season. It has a high IMDb audience rating of 8.5 (95,168 votes) and was very well received by critics.</t>
  </si>
  <si>
    <t>4 Seasons</t>
  </si>
  <si>
    <t>Grey's Anatomy</t>
  </si>
  <si>
    <t>Drama,Romance</t>
  </si>
  <si>
    <t>Follows the personal and professional lives of a group of doctors at Seattle’s Grey Sloan Memorial Hospital.Grey's Anatomy featuring Ellen Pompeo and Justin Chambers has one or more episodes streaming with subscription on Netflix, streaming with subscription on Hulu, free on ABC, and 4 others. It's a drama and romance show with 365 episodes over 16 seasons. Grey's Anatomy is still airing with no announced date for the next episode or season. It has a high IMDb audience rating of 7.6 (238,957 votes) and was well received by critics.</t>
  </si>
  <si>
    <t>16 Seasons</t>
  </si>
  <si>
    <t>My Hero Academia</t>
  </si>
  <si>
    <t>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exam.My Hero Academia featuring Daiki Yamashita and Nobuhiko Okamoto has one or more episodes streaming with subscription on Hulu, streaming with subscription on Crunchyroll, streaming via tv everywhere with Adult Swim (Via Cable/Satellite Provider), and 8 others. It's an action &amp; adventure and animation show with 93 episodes over 4 seasons. My Hero Academia is still airing with no announced date for the next episode or season. It has a high IMDb audience rating of 8.5 (28,993 votes) and was very well received by critics.</t>
  </si>
  <si>
    <t>Free Services,Hulu,Crunchyroll</t>
  </si>
  <si>
    <t>House of Cards</t>
  </si>
  <si>
    <t>Drama,Sport</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</si>
  <si>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D.C.House of Cards featuring Robin Wright and Michael Kelly has one or more episodes streaming with subscription on Netflix, available for purchase on iTunes, available for purchase on Google Play, and 4 others. It's a crime and drama show with 73 episodes over 6 seasons. House of Cards is no longer running and has no plans to air new episodes or seasons. It has a high IMDb audience rating of 8.7 (456,433 votes) and was well received by critics.</t>
  </si>
  <si>
    <t>The Handmaid's Tale</t>
  </si>
  <si>
    <t>Set in a dystopian future, a woman is forced to live as a concubine under a theonomic dictatorship. A TV adaptation of Margaret Atwood's novel.The Handmaid's Tale featuring Elisabeth Moss and Yvonne Strahovski has one or more episodes streaming with subscription on Hulu, available for purchase on iTunes, available for purchase on Google Play, and 4 others. It's a drama and fantasy show with 37 episodes over 3 seasons. The Handmaid's Tale is still airing with no announced date for the next episode or season. It has a high IMDb audience rating of 8.5 (160,327 votes) and was well received by critics.</t>
  </si>
  <si>
    <t>Marvel's Agents of S.H.I.E.L.D.</t>
  </si>
  <si>
    <t>Agent Phil Coulson of S.H.I.E.L.D. (Strategic Homeland Intervention, Enforcement and Logistics Division) puts together a team of agents to investigate the new, the strange and the unknown around the globe, protecting the ordinary from the extraordinary.Marvel's Agents of S.H.I.E.L.D. featuring Clark Gregg and Ming-Na Wen has one or more episodes streaming with subscription on Netflix, streaming with subscription on Hulu, free on ABC, and 5 others. It's an action &amp; adventure and drama show with 136 episodes over 7 seasons. Marvel's Agents of S.H.I.E.L.D. is no longer running and has no plans to air new episodes or seasons. It has a better than average IMDb audience rating of 7.5 (195,013 votes) and was very well received by critics.</t>
  </si>
  <si>
    <t>Fleabag</t>
  </si>
  <si>
    <t>Fleabag is thrown roughly up against the walls of contemporary London, sleeping with anyone who dares to stand too close, squeezing money from wherever she  can, rejecting anyone who tries to help her, and keeping up her bravado throughout.Fleabag featuring Phoebe Waller-Bridge and Sian Clifford has one or more episodes streaming with subscription on Prime Video, and available for purchase on iTunes. It's a comedy and drama show with 12 episodes over 2 seasons. Fleabag is no longer running and has no plans to air new episodes or seasons. It has a high IMDb audience rating of 8.7 (84,330 votes) and was very well received by critics.</t>
  </si>
  <si>
    <t>The Crown</t>
  </si>
  <si>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Crown.The Crown featuring Olivia Colman and Tobias Menzies has one or more episodes streaming with subscription on Netflix. It's a drama and history show with 30 episodes over 3 seasons. The Crown is still airing with no announced date for the next episode or season. It has a high IMDb audience rating of 8.7 (117,635 votes) and was very well received by critics.</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</si>
  <si>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</si>
  <si>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lives.Outlander featuring Caitriona Balfe and Sam Heughan has one or more episodes streaming with subscription on Netflix, streaming on Starz, available for purchase on iTunes, and 3 others. It's an action &amp; adventure and animation show with 69 episodes over 5 seasons. Outlander is still airing with no announced date for the next episode or season. It has a high IMDb audience rating of 8.4 (116,066 votes) and was very well received by critics.</t>
  </si>
  <si>
    <t>Netflix,Starz</t>
  </si>
  <si>
    <t>When They See Us</t>
  </si>
  <si>
    <t>Thriller,Biography</t>
  </si>
  <si>
    <t>Five teens from Harlem become trapped in a nightmare when they're falsely accused of a brutal attack in Central Park.When They See Us featuring Jharrel Jerome and Ethan Herisse has one or more episodes streaming with subscription on Netflix, and free on PBS. It's a biography and crime show with 4 episodes over 1 season. When They See Us is no longer running and has no plans to air new episodes or seasons. It has a high IMDb audience rating of 8.9 (82,251 votes) and was very well received by critics.</t>
  </si>
  <si>
    <t>Futurama</t>
  </si>
  <si>
    <t>Science-Fiction,Animation</t>
  </si>
  <si>
    <t>The adventures of a late-20th-century New York City pizza delivery boy, Philip J. Fry, who, after being unwittingly cryogenically frozen for one thousand years, finds employment at Planet Express, an interplanetary delivery company in the retro-futuristic 31st century.Futurama featuring Billy West and John DiMaggio has one or more episodes streaming with subscription on Hulu, streaming via tv everywhere with Syfy, streaming via tv everywhere with Comedy Central (Via Cable/Satellite Provider), and 6 others. It's an animation and comedy show with 142 episodes over 8 seasons. Futurama is no longer running and has no plans to air new episodes or seasons. It has a high IMDb audience rating of 8.4 (209,235 votes) and was very well received by critics.</t>
  </si>
  <si>
    <t>Hulu,Syfy,Comedy Central</t>
  </si>
  <si>
    <t>Sons of Anarchy</t>
  </si>
  <si>
    <t>An adrenalized drama with darkly comedic undertones that explores a notorious outlaw motorcycle club’s (MC) desire to protect its livelihood while ensuring that their simple, sheltered town of Charming, California remains exactly that, charming. The MC must confront threats from drug dealers, corporate developers, and overzealous law officers. Behind the MC’s familial lifestyle and legally thriving automotive shop is a ruthless and illegal arms business driven by the seduction of money, power, and blood.Sons of Anarchy featuring Charlie Hunnam and Katey Sagal has one or more episodes streaming with subscription on Hulu, streaming via tv everywhere with NBC Universo, available for purchase on iTunes, and 4 others. It's a crime and drama show with 93 episodes over 7 seasons. Sons of Anarchy is no longer running and has no plans to air new episodes or seasons. It has a high IMDb audience rating of 8.6 (250,199 votes) and was well received by critics.</t>
  </si>
  <si>
    <t>The Vampire Diaries</t>
  </si>
  <si>
    <t>The story of two vampire brothers obsessed with the same girl, who bears a striking resemblance to the beautiful but ruthless vampire they knew and loved in 1864.The Vampire Diaries featuring Paul Wesley and Ian Somerhalder has one or more episodes streaming with subscription on Netflix, free on Guidebox, available for purchase on iTunes, and 5 others. It's a drama and fantasy show with 175 episodes over 9 seasons. The Vampire Diaries is no longer running and has no plans to air new episodes or seasons. It has a high IMDb audience rating of 7.7 (274,918 votes) and was well received by critics.</t>
  </si>
  <si>
    <t>Prison Break</t>
  </si>
  <si>
    <t>Due to a political conspiracy, an innocent man is sent to death row and his only hope is his brother, who makes it his mission to deliberately get himself sent to the same prison in order to break the both of them out, from the inside out.Prison Break featuring Wentworth Miller and Dominic Purcell has one or more episodes streaming with subscription on Hulu, available for purchase on iTunes, available for purchase on Google Play, and 5 others. It's an action &amp; adventure and crime show with 89 episodes over 5 seasons. Prison Break is no longer running and has no plans to air new episodes or seasons. It has a high IMDb audience rating of 8.3 (462,661 votes) and was met with mixed reviews by critics.</t>
  </si>
  <si>
    <t>The Legend of Korra</t>
  </si>
  <si>
    <t>Avatar Korra, a headstrong, rebellious, feisty young woman who continually challenges and breaks with tradition, is on her quest to become a fully realized Avatar. In this story, the Avatar struggles to find balance within herself.The Legend of Korra featuring Janet Varney and David Faustino has one or more episodes streaming with subscription on Netflix, streaming on CBS All Access, free on ABC News, and 7 others. It's an action &amp; adventure and animation show with 53 episodes over 4 seasons. The Legend of Korra is no longer running and has no plans to air new episodes or seasons. It has a high IMDb audience rating of 8.4 (97,021 votes) and was very well received by critics.</t>
  </si>
  <si>
    <t>Free Services,Netflix,CBS All Access</t>
  </si>
  <si>
    <t>Archer</t>
  </si>
  <si>
    <t>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mankind.Archer featuring H. Jon Benjamin and Aisha Tyler has one or more episodes streaming with subscription on Hulu, streaming via tv everywhere with FX (Via Cable/Satellite Provider), streaming with subscription on fuboTV, and 7 others. It's an action &amp; adventure and animation show with 116 episodes over 11 seasons. Archer has a new episode airing on September 16th, 2020 (PDT). It has a high IMDb audience rating of 8.6 (133,667 votes) and was very well received by critics.</t>
  </si>
  <si>
    <t>11Seasons</t>
  </si>
  <si>
    <t>Hulu,FX,fuboTV</t>
  </si>
  <si>
    <t>Gravity Falls</t>
  </si>
  <si>
    <t>Twin brother and sister Dipper and Mabel Pines are in for an unexpected adventure when they spend the summer helping their great uncle Stan run a tourist trap in the mysterious town of Gravity Falls, Oregon.Gravity Falls featuring Kristen Schaal and Jessica DiCicco has one or more episodes streaming with subscription on Hulu, streaming with subscription on Disney+, available for purchase on iTunes, and 5 others. It's an action &amp; adventure and animation show with 41 episodes over 2 seasons. Gravity Falls is no longer running and has no plans to air new episodes or seasons. It has a high IMDb audience rating of 8.9 (67,723 votes) and was very well received by critics.</t>
  </si>
  <si>
    <t>Free Services,Hulu,Disney+</t>
  </si>
  <si>
    <t>Arrested Development</t>
  </si>
  <si>
    <t>Comedy,2003</t>
  </si>
  <si>
    <t>The story of a wealthy family that lost everything, and the one son who had no choice but to keep them all together.Arrested Development featuring Jason Bateman and Portia de Rossi has one or more episodes streaming with subscription on Netflix, streaming with subscription on Hulu, available for purchase on iTunes, and 4 others. It's a comedy show with 91 episodes over 5 seasons. Arrested Development is still airing with no announced date for the next episode or season. It has a high IMDb audience rating of 8.7 (271,138 votes) and was well received by critics.</t>
  </si>
  <si>
    <t>Netflix,Hulu</t>
  </si>
  <si>
    <t>The Blacklist</t>
  </si>
  <si>
    <t>Action &amp; Adventure,Thriller</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</si>
  <si>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profiler.The Blacklist featuring James Spader and Megan Boone has one or more episodes streaming with subscription on Netflix, free on NBC, streaming with subscription on fuboTV, and 6 others. It's an action &amp; adventure and crime show with 153 episodes over 7 seasons. The Blacklist is still airing with no announced date for the next episode or season. It has a high IMDb audience rating of 8.0 (185,473 votes) and was very well received by critics.</t>
  </si>
  <si>
    <t>Killing Eve</t>
  </si>
  <si>
    <t>Thriller,LGBTQ</t>
  </si>
  <si>
    <t>A security consultant hunts for a ruthless assassin. Equally obsessed with each other, they go head to head in an epic game of cat-and-mouse.Killing Eve featuring Sandra Oh and Jodie Comer has one or more episodes streaming with subscription on Hulu, streaming via tv everywhere with BBC America (Via Cable/Satellite Provider), available for purchase on iTunes, and 5 others. It's an action &amp; adventure and crime show with 24 episodes over 3 seasons. Killing Eve is still airing with no announced date for the next episode or season. It has a high IMDb audience rating of 8.3 (79,052 votes) and was very well received by critics.</t>
  </si>
  <si>
    <t>Hulu,BBC America</t>
  </si>
  <si>
    <t>Last Week Tonight with John Oliver</t>
  </si>
  <si>
    <t>Comedy,2014</t>
  </si>
  <si>
    <t>A half-hour satirical look at the week in news, politics and current events.Last Week Tonight with John Oliver featuring John Oliver and David Kaye has one or more episodes streaming with subscription on HBO MAX, streaming on HBO, available for purchase on Google Play, and 3 others. It's a comedy show with 206 episodes over 7 seasons. Last Week Tonight with John Oliver has a new episode airing on September 27th, 2020 (PDT). It has a high IMDb audience rating of 8.9 (76,412 votes) and was very well received by critics.</t>
  </si>
  <si>
    <t>Sacred Games</t>
  </si>
  <si>
    <t>A link in their pasts leads an honest cop to a fugitive gang boss, whose cryptic warning spurs the officer on a quest to save Mumbai from cataclysm.Sacred Games featuring Pankaj Tripathi and Saif Ali Khan has one or more episodes streaming with subscription on Netflix. It's an action &amp; adventure and crime show with 16 episodes over 2 seasons. Sacred Games is still airing with no announced date for the next episode or season. It has a high IMDb audience rating of 8.7 (69,901 votes) and was very well received by critics.</t>
  </si>
  <si>
    <t>2 Seasons</t>
  </si>
  <si>
    <t>Orange Is the New Black</t>
  </si>
  <si>
    <t>A crime she committed in her youthful past sends Piper Chapman to a women's prison, where she trades her comfortable New York life for one of unexpected camaraderie and conflict in an eccentric group of fellow inmates.Orange Is the New Black featuring Taylor Schilling and Laura Prepon has one or more episodes streaming with subscription on Netflix, available for purchase on iTunes, available for purchase on Google Play, and 4 others. It's a comedy and crime show with 92 episodes over 7 seasons. Orange Is the New Black is no longer running and has no plans to air new episodes or seasons. It has a high IMDb audience rating of 8.1 (274,327 votes) and was very well received by critics.</t>
  </si>
  <si>
    <t>Yellowstone</t>
  </si>
  <si>
    <t>Drama,2018</t>
  </si>
  <si>
    <t>Follow the violent world of the Dutton family, who controls the largest contiguous ranch in the United States. Led by their patriarch John Dutton, the family defends their property against constant attack by land developers, an Indian reservation, and America’s first National Park.Yellowstone featuring Kevin Costner and Kelly Reilly has one or more episodes streaming with subscription on fuboTV, free on Peacock, streaming with subscription on Peacock Premium, and 6 others. It's a drama show with 29 episodes over 3 seasons. Yellowstone is still airing with no announced date for the next episode or season. It has a high IMDb audience rating of 8.5 (21,639 votes) and was well received by critics.</t>
  </si>
  <si>
    <t>Free Services,fuboTV,Peacock Premium</t>
  </si>
  <si>
    <t>Silicon Valley</t>
  </si>
  <si>
    <t>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Valley.Silicon Valley featuring Thomas Middleditch and Zach Woods has one or more episodes streaming with subscription on HBO MAX, streaming on HBO, available for purchase on iTunes, and 4 others. It's a comedy and drama show with 53 episodes over 6 seasons. Silicon Valley is no longer running and has no plans to air new episodes or seasons. It has a high IMDb audience rating of 8.5 (122,100 votes) and was very well received by critics.</t>
  </si>
  <si>
    <t>Euphoria</t>
  </si>
  <si>
    <t>Drama,LGBTQ</t>
  </si>
  <si>
    <t>A group of high school students navigate love and friendships in a world of drugs, sex, trauma, and social media.Euphoria featuring Zendaya and Hunter Schafer has one or more episodes streaming with subscription on HBO MAX, streaming on HBO, available for purchase on Google Play, and 2 others. It's a drama and LGBTQ show with 8 episodes over 1 season. Euphoria is still airing with no announced date for the next episode or season. It has a high IMDb audience rating of 8.4 (47,556 votes) and was well received by critics.</t>
  </si>
  <si>
    <t>The X-Files</t>
  </si>
  <si>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cases.The X-Files featuring Gillian Anderson and David Duchovny has one or more episodes streaming with subscription on Hulu, streaming via tv everywhere with BBC America (Via Cable/Satellite Provider), free on FOX, and 7 others. It's a drama and fantasy show with 219 episodes over 11 seasons. The X-Files is no longer running and has no plans to air new episodes or seasons. It has a high IMDb audience rating of 8.6 (194,182 votes) and was well received by critics.</t>
  </si>
  <si>
    <t>Free Services,Hulu,BBC America</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</si>
  <si>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</si>
  <si>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Flash.The Flash featuring Grant Gustin and Candice Patton has one or more episodes streaming with subscription on Netflix, free on The CW, available for purchase on iTunes, and 4 others. It's an action &amp; adventure and crime show with 135 episodes over 6 seasons. The Flash is still airing with no announced date for the next episode or season. It has a high IMDb audience rating of 7.7 (299,826 votes) and was well received by critics.</t>
  </si>
  <si>
    <t>Justified</t>
  </si>
  <si>
    <t>A character drama based on the 2001 Elmore Leonard short story "Fire in the Hole." Leonard's tale centers around U.S. Marshal Raylan Givens of Kentucky, a quiet but strong-willed official of the law. The tale covers his high-stakes job, as well as his strained relationships with his ex-wife and father.Justified featuring Timothy Olyphant and Walton Goggins has one or more episodes streaming with subscription on Hulu, available for purchase on iTunes, available for purchase on Google Play, and 2 others. It's an action &amp; adventure and comedy show with 78 episodes over 6 seasons. Justified is no longer running and has no plans to air new episodes or seasons. It has a high IMDb audience rating of 8.6 (83,711 votes) and was very well received by critics.</t>
  </si>
  <si>
    <t>The Americans</t>
  </si>
  <si>
    <t>Drama,Crime</t>
  </si>
  <si>
    <t>Set during the Cold War period in the 1980s, The Americans is the story of Elizabeth and Philip Jennings, two Soviet KGB officers posing as an American married couple in the suburbs of Washington D.C. and their neighbor, Stan Beeman, an FBI Counterintelligence agent.The Americans featuring Keri Russell and Matthew Rhys has one or more episodes streaming with subscription on Prime Video, available for purchase on iTunes, available for purchase on Google Play, and 4 others. It's an action &amp; adventure and crime show with 75 episodes over 6 seasons. The Americans is no longer running and has no plans to air new episodes or seasons. It has a high IMDb audience rating of 8.4 (80,394 votes) and was very well received by critics.</t>
  </si>
  <si>
    <t>This Is Us</t>
  </si>
  <si>
    <t>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expect.This Is Us featuring Sterling K. Brown and Chrissy Metz has one or more episodes streaming with subscription on Hulu, streaming via tv everywhere with NBC (Via Cable/Satellite Provider), free on NBC, and 7 others. It's a comedy and drama show with 73 episodes over 4 seasons. This Is Us is still airing with no announced date for the next episode or season. It has a high IMDb audience rating of 8.7 (96,593 votes) and was very well received by critics.</t>
  </si>
  <si>
    <t>Free Services,Hulu,NBC</t>
  </si>
  <si>
    <t>Adventure Time</t>
  </si>
  <si>
    <t>Action &amp; Adventure,Fantasy</t>
  </si>
  <si>
    <t>Hook up with Finn and Jake as they travel the Land of Ooo searching for adventure. But remember, adventure isn’t always easy. Sometimes you’ve got to battle fire gnomes that torture old ladies, save a smelly hot dog princess from the Ice King, and thaw out a bunch of frozen businessmen. What the cabbage?!Adventure Time featuring Jeremy Shada and John DiMaggio has one or more episodes streaming with subscription on HBO MAX, streaming with subscription on Hulu, streaming via tv everywhere with Cartoon Network, and 6 others. It's an action &amp; adventure and animation show with 320 episodes over 11 seasons. Adventure Time is no longer running and has no plans to air new episodes or seasons. It has a high IMDb audience rating of 8.6 (73,759 votes) and was very well received by critics.</t>
  </si>
  <si>
    <t>BoJack Horseman</t>
  </si>
  <si>
    <t>Meet the most beloved sitcom horse of the 90s - 20 years later. BoJack Horseman was the star of the hit TV show "Horsin' Around," but today he's washed up, living in Hollywood, complaining about everything, and wearing colorful sweaters.BoJack Horseman featuring Will Arnett and Aaron Paul has one or more episodes streaming with subscription on Netflix. It's an animation and comedy show with 77 episodes over 6 seasons. BoJack Horseman is no longer running and has no plans to air new episodes or seasons. It has a high IMDb audience rating of 8.7 (103,196 votes) and was very well received by critics.</t>
  </si>
  <si>
    <t>The Marvelous Mrs. Maisel</t>
  </si>
  <si>
    <t>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couch.The Marvelous Mrs. Maisel featuring Rachel Brosnahan and Alex Borstein has one or more episodes streaming with subscription on Prime Video. It's a comedy and drama show with 26 episodes over 3 seasons. The Marvelous Mrs. Maisel is still airing with no announced date for the next episode or season. It has a high IMDb audience rating of 8.7 (72,473 votes) and was very well received by critics.</t>
  </si>
  <si>
    <t>The End of the F***ing World</t>
  </si>
  <si>
    <t>James is 17 and is pretty sure he is a psychopath. Alyssa, also 17, is the cool and moody new girl at school. The pair make a connection and she persuades him to embark on a darkly comedic road trip in search of her real father.The End of the F***ing World featuring Alex Lawther and Jessica Barden has one or more episodes streaming with subscription on Netflix, available for purchase on Google Play, available for purchase on Prime Video, and 2 others. It's an action &amp; adventure and comedy show with 16 episodes over 2 seasons. The End of the F***ing World is no longer running and has no plans to air new episodes or seasons. It has a high IMDb audience rating of 8.1 (135,357 votes) and was very well received by critics.</t>
  </si>
  <si>
    <t>Big Little Lies</t>
  </si>
  <si>
    <t>The tale of three mothers of first graders whose apparently perfect lives unravel to the point of murder.Big Little Lies featuring Nicole Kidman and Reese Witherspoon has one or more episodes streaming with subscription on HBO MAX, streaming on HBO, available for purchase on iTunes, and 4 others. It's a comedy and crime show with 14 episodes over 2 seasons. Big Little Lies is no longer running and has no plans to air new episodes or seasons. It has a high IMDb audience rating of 8.5 (145,406 votes) and was very well received by critics.</t>
  </si>
  <si>
    <t>Luther</t>
  </si>
  <si>
    <t>A dark psychological crime drama starring Idris Elba as Luther, a man struggling with his own terrible demons, who might be as dangerous as the depraved murderers he hunts.Luther featuring Idris Elba and Ruth Wilson has one or more episodes streaming with subscription on HBO MAX, streaming with subscription on Prime Video, streaming on Starz, and 7 others. It's a comedy and crime show with 20 episodes over 5 seasons. Luther is still airing with no announced date for the next episode or season. It has a high IMDb audience rating of 8.5 (117,282 votes) and was well received by critics.</t>
  </si>
  <si>
    <t>HBO MAX,Prime Video,Starz</t>
  </si>
  <si>
    <t>Curb Your Enthusiasm</t>
  </si>
  <si>
    <t>Comedy,2000</t>
  </si>
  <si>
    <t>The off-kilter, unscripted comic vision of Larry David, who plays himself in a parallel universe in which he can't seem to do anything right, and, by his standards, neither can anyone else.Curb Your Enthusiasm featuring Larry David and Jeff Garlin has one or more episodes streaming with subscription on HBO MAX, streaming on HBO, available for purchase on iTunes, and 5 others. It's a comedy show with 122 episodes over 10 seasons. Curb Your Enthusiasm is still airing with no announced date for the next episode or season. It has a high IMDb audience rating of 8.7 (98,886 votes) and was very well received by critics.</t>
  </si>
  <si>
    <t>American Crime Story</t>
  </si>
  <si>
    <t>Biography,Drama</t>
  </si>
  <si>
    <t>An anthology series centered around some of history's most famous criminals.American Crime Story featuring Darren Criss and Edgar Ramírez has one or more episodes streaming with subscription on Netflix, available for purchase on iTunes, available for purchase on Google Play, and 3 others. It's a biography and crime show with 19 episodes over 2 seasons. American Crime Story has a new episode airing on September 27th, 2020 (PDT). It has a high IMDb audience rating of 8.4 (77,103 votes) and was very well received by critics.</t>
  </si>
  <si>
    <t>Unbelievable</t>
  </si>
  <si>
    <t>A teenager is charged with lying about her rape allegation, but two determined investigative female detectives discover a far more sinister truth.Unbelievable featuring Kaitlyn Dever and Toni Collette has one or more episodes streaming with subscription on Netflix. It's a crime and drama show with 8 episodes over 1 season. Unbelievable is no longer running and has no plans to air new episodes or seasons. It has a high IMDb audience rating of 8.4 (63,705 votes) and was very well received by critics.</t>
  </si>
  <si>
    <t>Boardwalk Empire</t>
  </si>
  <si>
    <t>Atlantic City at the dawn of Prohibition is a place where the rules don't apply. And the man who runs things -- legally and otherwise -- is the town's treasurer, Enoch "Nucky" Thompson, who is equal parts politician and gangster.Boardwalk Empire featuring Steve Buscemi and Stephen Graham has one or more episodes streaming with subscription on HBO MAX, streaming on HBO, available for purchase on iTunes, and 4 others. It's a crime and drama show with 56 episodes over 5 seasons. Boardwalk Empire is no longer running and has no plans to air new episodes or seasons. It has a high IMDb audience rating of 8.5 (168,640 votes) and was very well received by critics.</t>
  </si>
  <si>
    <t>Orphan Black</t>
  </si>
  <si>
    <t>A streetwise hustler is pulled into a compelling conspiracy after witnessing the suicide of a girl who looks just like her.Orphan Black featuring Tatiana Maslany and Jordan Gavaris has one or more episodes streaming with subscription on Prime Video, streaming via tv everywhere with BBC America (Via Cable/Satellite Provider), available for purchase on iTunes, and 4 others. It's an action &amp; adventure and drama show with 51 episodes over 5 seasons. Orphan Black is no longer running and has no plans to air new episodes or seasons. It has a high IMDb audience rating of 8.3 (98,896 votes) and was very well received by critics.</t>
  </si>
  <si>
    <t>Prime Video,BBC America</t>
  </si>
  <si>
    <t>The Last Kingdom</t>
  </si>
  <si>
    <t>Action &amp; Adventure,History</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</si>
  <si>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home.The Last Kingdom featuring Alexander Dreymon and Emily Cox has one or more episodes streaming with subscription on Netflix, available for purchase on iTunes, available for purchase on Google Play, and 3 others. It's an action &amp; adventure and drama show with 40 episodes over 4 seasons. The Last Kingdom is still airing with no announced date for the next episode or season. It has a high IMDb audience rating of 8.4 (76,702 votes) and was very well received by critics.</t>
  </si>
  <si>
    <t>Rome</t>
  </si>
  <si>
    <t>A down-to-earth account of the lives of both illustrious and ordinary Romans set in the last days of the Roman Republic.Rome featuring Kevin McKidd and Ray Stevenson has one or more episodes streaming with subscription on HBO MAX, streaming on HBO, available for purchase on iTunes, and 4 others. It's an action &amp; adventure and drama show with 22 episodes over 2 seasons. Rome is no longer running and has no plans to air new episodes or seasons. It has a high IMDb audience rating of 8.7 (151,248 votes) and was well received by critics.</t>
  </si>
  <si>
    <t>Batman: The Animated Series</t>
  </si>
  <si>
    <t>Batman: The Animated Series is an American animated television series based on the DC Comics superhero Batman. The series was widely praised for its thematic complexity, dark tone, artistic quality, and faithfulness to its title character's crime-fighting origins.Batman: The Animated Series featuring Kevin Conroy and Efrem Zimbalist Jr. has one or more episodes streaming with subscription on DC Universe, available for purchase on iTunes, available for purchase on Google Play, and 4 others. It's an action &amp; adventure and animation show with 114 episodes over 5 seasons. Batman: The Animated Series is no longer running and has no plans to air new episodes or seasons. It has a high IMDb audience rating of 9.0 (84,276 votes) and was very well received by critics.</t>
  </si>
  <si>
    <t>DC Universe</t>
  </si>
  <si>
    <t>Sense8</t>
  </si>
  <si>
    <t>One gunshot, one death, one moment out of time that irrevocably links eight minds in disparate parts of the world, putting them in each other's lives, each other's secrets, and in terrible danger. Ordinary people suddenly reborn as "Sensates."Sense8 featuring Miguel Ángel Silvestre and Max Riemelt has one or more episodes streaming with subscription on Netflix. It's a drama and fantasy show with 24 episodes over 2 seasons. Sense8 is no longer running and has no plans to air new episodes or seasons. It has a high IMDb audience rating of 8.3 (135,232 votes) and was well received by critics.</t>
  </si>
  <si>
    <t>Six Feet Under</t>
  </si>
  <si>
    <t>A darkly comic look at members of a dysfunctional L.A. family that run a funeral business. When death is your business, what is your life? For the Fisher family, the world outside of their family-owned funeral home continues to be at least as challenging as--and far less predictable than--the one inside.Six Feet Under featuring Peter Krause and Michael C. Hall has one or more episodes streaming with subscription on HBO MAX, streaming on HBO, streaming with subscription on Prime Video, and 6 others. It's a comedy and drama show with 63 episodes over 5 seasons. Six Feet Under is no longer running and has no plans to air new episodes or seasons. It has a high IMDb audience rating of 8.7 (118,067 votes) and was well received by critics.</t>
  </si>
  <si>
    <t>HBO MAX,HBO,Prime Video</t>
  </si>
  <si>
    <t>Penny Dreadful</t>
  </si>
  <si>
    <t>Horror,Thriller</t>
  </si>
  <si>
    <t>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drama.Penny Dreadful featuring Eva Green and Josh Hartnett has one or more episodes streaming with subscription on Netflix, streaming on Showtime, streaming with subscription on fuboTV, and 6 others. It's a drama and fantasy show with 27 episodes over 3 seasons. Penny Dreadful is no longer running and has no plans to air new episodes or seasons. It has a high IMDb audience rating of 8.2 (109,491 votes) and was very well received by critics.</t>
  </si>
  <si>
    <t>Normal People</t>
  </si>
  <si>
    <t>Marianne and Connell weave in and out of each other’s lives in this exploration of sex, power and the desire to love and be loved. Adaptation of Sally Rooney’s best-selling novel.Normal People featuring Daisy Edgar-Jones and Paul Mescal has one or more episodes streaming with subscription on Hulu. It's a comedy and drama show with 12 episodes over 1 season. Normal People is no longer running and has no plans to air new episodes or seasons. It has a high IMDb audience rating of 8.6 (25,651 votes) and was very well received by critics.</t>
  </si>
  <si>
    <t>Scrubs</t>
  </si>
  <si>
    <t>In the unreal world of Sacred Heart Hospital, John "J.D" Dorian learns the ways of medicine, friendship and life.Scrubs featuring Zach Braff and Donald Faison has one or more episodes streaming with subscription on Hulu, streaming via tv everywhere with Comedy Central (Via Cable/Satellite Provider), available for purchase on iTunes, and 3 others. It's a comedy and drama show with 183 episodes over 9 seasons. Scrubs is no longer running and has no plans to air new episodes or seasons. It has a high IMDb audience rating of 8.3 (233,093 votes) and was well received by critics.</t>
  </si>
  <si>
    <t>Hulu,Comedy Central</t>
  </si>
  <si>
    <t>The IT Crowd</t>
  </si>
  <si>
    <t>Comedy,2006</t>
  </si>
  <si>
    <t>UK Comedy series about two I.T. nerds and their clueless female manager, who work in the basement of a very successful company. When they are called on for help, they are never treated with any respect at all.The IT Crowd featuring Chris O'Dowd and Richard Ayoade has one or more episodes streaming with subscription on Netflix, free on Tubi, available for purchase on iTunes, and 3 others. It's a comedy show with 25 episodes over 5 seasons. The IT Crowd is no longer running and has no plans to air new episodes or seasons. It has a high IMDb audience rating of 8.5 (129,562 votes) and was well received by critics.</t>
  </si>
  <si>
    <t>Once Upon a Time</t>
  </si>
  <si>
    <t>There is a town in Maine where every story book character you've ever known is trapped between two worlds, victims of a powerful curse. Only one knows the truth and only one can break the spell. 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daughter.Once Upon a Time featuring Lana Parrilla and Colin O'Donoghue has one or more episodes streaming with subscription on Netflix, available for purchase on iTunes, available for purchase on Google Play, and 3 others. It's an action &amp; adventure and drama show with 156 episodes over 7 seasons. Once Upon a Time is no longer running and has no plans to air new episodes or seasons. It has a high IMDb audience rating of 7.7 (204,803 votes) and was well received by critics.</t>
  </si>
  <si>
    <t>Star Trek: The Next Generation</t>
  </si>
  <si>
    <t>Follow the intergalactic adventures of Capt. Jean-Luc Picard and his loyal crew aboard the all-new USS Enterprise NCC-1701D, as they explore new worlds.Star Trek: The Next Generation featuring Patrick Stewart and Jonathan Frakes has one or more episodes streaming with subscription on Netflix, streaming with subscription on Prime Video, streaming with subscription on Hulu, and 6 others. It's an action &amp; adventure and drama show with 181 episodes over 7 seasons. Star Trek: The Next Generation is no longer running and has no plans to air new episodes or seasons. It has a high IMDb audience rating of 8.6 (97,096 votes) and was very well received by critics.</t>
  </si>
  <si>
    <t>Netflix,Prime Video,Hulu</t>
  </si>
  <si>
    <t>Broadchurch</t>
  </si>
  <si>
    <t>The murder of a young boy in a small coastal town brings a media frenzy, which threatens to tear the community apart.Broadchurch featuring David Tennant and Olivia Colman has one or more episodes streaming with subscription on Netflix, available for purchase on iTunes, available for purchase on Google Play, and 3 others. It's a crime and drama show with 24 episodes over 3 seasons. Broadchurch is no longer running and has no plans to air new episodes or seasons. It has a high IMDb audience rating of 8.4 (88,366 votes) and was very well received by critics.</t>
  </si>
  <si>
    <t>Pride and Prejudice</t>
  </si>
  <si>
    <t>all</t>
  </si>
  <si>
    <t>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Elizabeth.Pride and Prejudice featuring Colin Firth and Jennifer Ehle has one or more episodes streaming with subscription on HBO MAX, streaming with subscription on Hulu, streaming on BritBox, and 5 others. It's a drama and romance show with 6 episodes over 1 season. Pride and Prejudice is no longer running and has no plans to air new episodes or seasons. It has a high IMDb audience rating of 8.8 (73,709 votes) and was well received by critics.</t>
  </si>
  <si>
    <t>HBO MAX,Hulu,BritBox</t>
  </si>
  <si>
    <t>Arrow</t>
  </si>
  <si>
    <t>Spoiled billionaire playboy Oliver Queen is missing and presumed dead when his yacht is lost at sea. He returns five years later a changed man, determined to clean up the city as a hooded vigilante armed with a bow.Arrow featuring Stephen Amell and David Ramsey has one or more episodes streaming with subscription on Netflix, free on The CW, available for purchase on iTunes, and 3 others. It's an action &amp; adventure and crime show with 172 episodes over 8 seasons. Arrow is no longer running and has no plans to air new episodes or seasons. It has a better than average IMDb audience rating of 7.5 (402,268 votes) and was well received by critics.</t>
  </si>
  <si>
    <t>Chuck</t>
  </si>
  <si>
    <t>When Buy More computer geek Chuck Bartowski unwittingly downloads a database of government information and deadly fighting skills into his head, he becomes the CIA's most vital secret. This sets Chuck on a path to become a full-fledged spy.Chuck featuring Zachary Levi and Yvonne Strahovski has one or more episodes streaming with subscription on Prime Video, available for purchase on iTunes, available for purchase on Google Play, and 4 others. It's an action &amp; adventure and comedy show with 91 episodes over 5 seasons. Chuck is no longer running and has no plans to air new episodes or seasons. It has a high IMDb audience rating of 8.2 (125,627 votes) and was very well received by critics.</t>
  </si>
  <si>
    <t>Planet Earth II</t>
  </si>
  <si>
    <t>Documentary,2016</t>
  </si>
  <si>
    <t>David Attenborough presents a documentary series exploring how animals meet the challenges of surviving in the most iconic habitats on earth.Planet Earth II featuring David Attenborough has one or more episodes streaming via tv everywhere with BBC America (Via Cable/Satellite Provider), available for purchase on iTunes, available for purchase on Google Play, and 3 others. It's a documentary show with 7 episodes over 1 season. Planet Earth II is no longer running and has no plans to air new episodes or seasons. It has a very high IMDb audience rating of 9.5 (91,536 votes) and was very well received by critics.</t>
  </si>
  <si>
    <t>BBC America</t>
  </si>
  <si>
    <t>24 is an American television series produced for the Fox network and syndicated worldwide, starring Kiefer Sutherland as Counter Terrorist Unit agent Jack Bauer. Each 24-episode season covers 24 hours in the life of Bauer, using the real time method of narration.24 featuring Kiefer Sutherland and Mary Lynn Rajskub has one or more episodes streaming with subscription on Hulu, available for purchase on iTunes, available for purchase on Google Play, and 4 others. It's an action &amp; adventure and crime show with 205 episodes over 9 seasons. 24 is no longer running and has no plans to air new episodes or seasons. It has a high IMDb audience rating of 8.3 (168,700 votes) and was well received by critics.</t>
  </si>
  <si>
    <t>9 Seasons</t>
  </si>
  <si>
    <t>What We Do in the Shadows</t>
  </si>
  <si>
    <t>Comedy,Fantasy</t>
  </si>
  <si>
    <t>A documentary-style look into the daily (or rather, nightly) lives of three vampires in Staten Island who have “lived” together for hundreds and hundreds of years.What We Do in the Shadows featuring Kayvan Novak and Matt Berry has one or more episodes streaming with subscription on Hulu, available for purchase on Google Play, available for purchase on VUDU, and 1 other. It's a comedy and fantasy show with 20 episodes over 2 seasons. What We Do in the Shadows is still airing with no announced date for the next episode or season. It has a high IMDb audience rating of 8.5 (30,296 votes) and was very well received by critics.</t>
  </si>
  <si>
    <t>The Night Of</t>
  </si>
  <si>
    <t>After a night of partying with a female stranger, a man wakes up to find her stabbed to death and is charged with her murder.The Night Of featuring Riz Ahmed and John Turturro has one or more episodes streaming with subscription on HBO MAX, streaming on HBO, and available for purchase on VUDU. It's a crime and drama show with 8 episodes over 1 season. The Night Of is no longer running and has no plans to air new episodes or seasons. It has a high IMDb audience rating of 8.5 (113,905 votes) and was very well received by critics.</t>
  </si>
  <si>
    <t>Buffy the Vampire Slayer</t>
  </si>
  <si>
    <t>Into every generation a slayer is born: one girl in all the world, a chosen one. She alone will wield the strength and skill to fight the vampires, demons, and the forces of darkness; to stop the spread of their evil and the swell of their number. She is the Slayer.Buffy the Vampire Slayer featuring Sarah Michelle Gellar and Alyson Hannigan has one or more episodes streaming with subscription on Hulu, available for purchase on iTunes, available for purchase on Google Play, and 4 others. It's an action &amp; adventure and comedy show with 144 episodes over 7 seasons. Buffy the Vampire Slayer is no longer running and has no plans to air new episodes or seasons. It has a high IMDb audience rating of 8.2 (126,149 votes) and was well received by critics.</t>
  </si>
  <si>
    <t>White Collar</t>
  </si>
  <si>
    <t>Neal Caffrey, a con man, forger and thief, is captured after a three-year game of cat and mouse with the FBI. With only months left serving a four-year sentence, he escapes to look for Kate, his girlfriend. Peter Burke, the FBI agent who initially captured Caffrey, finds and returns him to prison. This time, Caffrey proposes a deal with the FBI, as part of a work-release program. After some hesitation, Burke agrees, and thus begins this unconventional arrangement where Caffrey helps Burke apprehend white collar criminals.White Collar featuring Matt Bomer and Tim DeKay has one or more episodes streaming with subscription on Hulu, free on IMDb TV, available for purchase on iTunes, and 4 others. It's an action &amp; adventure and comedy show with 81 episodes over 6 seasons. White Collar is no longer running and has no plans to air new episodes or seasons. It has a high IMDb audience rating of 8.2 (115,930 votes) and was very well received by critics.</t>
  </si>
  <si>
    <t>Billions</t>
  </si>
  <si>
    <t>Drama,2016</t>
  </si>
  <si>
    <t>A complex drama about power politics in the world of New York high finance. 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series.Billions featuring Paul Giamatti and Damian Lewis has one or more episodes streaming on Showtime, free on Showtime FREEview, streaming with subscription on fuboTV, and 6 others. It's a drama show with 60 episodes over 5 seasons. Billions is still airing with no announced date for the next episode or season. It has a high IMDb audience rating of 8.4 (66,463 votes) and was well received by critics.</t>
  </si>
  <si>
    <t>The West Wing</t>
  </si>
  <si>
    <t>Drama,1999</t>
  </si>
  <si>
    <t>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life.The West Wing featuring Martin Sheen and Allison Janney has one or more episodes streaming with subscription on Netflix, available for purchase on iTunes, available for purchase on Google Play, and 3 others. It's a drama show with 155 episodes over 7 seasons. The West Wing is no longer running and has no plans to air new episodes or seasons. It has a high IMDb audience rating of 8.8 (60,875 votes) and was well received by critics.</t>
  </si>
  <si>
    <t>Love, Death &amp; Robots</t>
  </si>
  <si>
    <t>Animation,Science-Fiction</t>
  </si>
  <si>
    <t>Terrifying creatures, wicked surprises and dark comedy converge in this NSFW anthology of animated stories presented by Tim Miller and David Fincher.Love, Death &amp; Robots has one or more episodes streaming with subscription on Netflix. It's an animation and comedy show with 18 episodes over 1 season. Love, Death &amp; Robots is still airing with no announced date for the next episode or season. It has a high IMDb audience rating of 8.5 (89,025 votes) and was well received by critics.</t>
  </si>
  <si>
    <t>Legion</t>
  </si>
  <si>
    <t>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real.Legion featuring Dan Stevens and Rachel Keller has one or more episodes streaming with subscription on Hulu, available for purchase on iTunes, available for purchase on Google Play, and 3 others. It's an action &amp; adventure and drama show with 27 episodes over 3 seasons. Legion is no longer running and has no plans to air new episodes or seasons. It has a high IMDb audience rating of 8.3 (80,602 votes) and was very well received by critics.</t>
  </si>
  <si>
    <t>Ted Lasso</t>
  </si>
  <si>
    <t>Ted Lasso, an American football coach, moves to England when he’s hired to manage a soccer team—despite having no experience. With cynical players and a doubtful town, will he get them to see the Ted Lasso Way?Ted Lasso featuring Jason Sudeikis and Hannah Waddingham has one or more episodes streaming with subscription on Apple TV+. It's a comedy and drama show with 7 episodes over 1 season. Ted Lasso has a new episode airing on September 17th, 2020 (PDT). It has a high IMDb audience rating of 8.6 (5,651 votes) and was well received by critics.</t>
  </si>
  <si>
    <t>Apple TV+</t>
  </si>
  <si>
    <t>Psych</t>
  </si>
  <si>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ride.Psych featuring James Roday Rodriguez and Dulé Hill has one or more episodes streaming with subscription on Prime Video, free on IMDb TV, free on Peacock, and 4 others. It's a comedy and crime show with 122 episodes over 8 seasons. Psych is no longer running and has no plans to air new episodes or seasons. It has a high IMDb audience rating of 8.3 (83,014 votes) and was very well received by critics.</t>
  </si>
  <si>
    <t>8 Seasons</t>
  </si>
  <si>
    <t>Marvel's Jessica Jones</t>
  </si>
  <si>
    <t>After a tragic ending to her short-lived super hero stint, Jessica Jones is rebuilding her personal life and career as a detective who gets pulled into cases involving people with extraordinary abilities in New York City.Marvel's Jessica Jones featuring Krysten Ritter and Rachael Taylor has one or more episodes streaming with subscription on Netflix, available for purchase on iTunes, available for purchase on Google Play, and 3 others. It's an action &amp; adventure and crime show with 39 episodes over 3 seasons. Marvel's Jessica Jones is no longer running and has no plans to air new episodes or seasons. It has a high IMDb audience rating of 7.9 (189,094 votes) and was well received by critics.</t>
  </si>
  <si>
    <t>Kingdom</t>
  </si>
  <si>
    <t>In this zombie thriller set in Korea's medieval Joseon dynasty, a crown prince is sent on a suicide mission to investigate a mysterious outbreak.Kingdom featuring Ju Ji-hoon and Ryu Seung-ryong has one or more episodes streaming with subscription on Netflix. It's an action &amp; adventure and drama show with 12 episodes over 2 seasons. Kingdom is still airing with no announced date for the next episode or season. It has a high IMDb audience rating of 8.4 (26,193 votes) and was very well received by critics.</t>
  </si>
  <si>
    <t>The Twilight Zone</t>
  </si>
  <si>
    <t>Fantasy,Science-Fiction</t>
  </si>
  <si>
    <t>A series of unrelated stories containing drama, psychological thriller, fantasy, science fiction, suspense, and/or horror, often concluding with a macabre or unexpected twist.The Twilight Zone featuring Rod Serling has one or more episodes streaming with subscription on Netflix, streaming with subscription on Hulu, streaming on CBS All Access, and 6 others. It's a drama and fantasy show with 157 episodes over 5 seasons. The Twilight Zone is no longer running and has no plans to air new episodes or seasons. It has a high IMDb audience rating of 9.0 (68,697 votes) and was well received by critics.</t>
  </si>
  <si>
    <t>Netflix,Hulu,CBS All Access</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</si>
  <si>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</si>
  <si>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lives.How to Get Away with Murder featuring Viola Davis and Billy Brown has one or more episodes streaming with subscription on Netflix, streaming with subscription on Hulu, free on ABC, and 5 others. It's a crime and drama show with 90 episodes over 6 seasons. How to Get Away with Murder is no longer running and has no plans to air new episodes or seasons. It has a high IMDb audience rating of 8.1 (120,917 votes) and was well received by critics.</t>
  </si>
  <si>
    <t>Schitt's Creek</t>
  </si>
  <si>
    <t>Comedy,2015</t>
  </si>
  <si>
    <t>Formerly filthy rich video store magnate Johnny Rose, his soap star wife Moira, and their two kids, über-hipster son David and socialite daughter Alexis, suddenly find themselves broke and forced to live in Schitt's Creek, a small depressing town they once bought as a joke.Schitt's Creek featuring Eugene Levy and Catherine O'Hara has one or more episodes streaming with subscription on Netflix, streaming with subscription on Prime Video, free on CW Seed, and 6 others. It's a comedy show with 82 episodes over 6 seasons. Schitt's Creek is no longer running and has no plans to air new episodes or seasons. It has a high IMDb audience rating of 8.4 (41,347 votes) and was met with mixed reviews by critics.</t>
  </si>
  <si>
    <t>New Girl</t>
  </si>
  <si>
    <t>Comedy,2011</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</si>
  <si>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home.New Girl featuring Zooey Deschanel and Jake Johnson has one or more episodes streaming with subscription on Netflix, streaming via tv everywhere with TBS, available for purchase on iTunes, and 5 others. It's a comedy show with 146 episodes over 7 seasons. New Girl is no longer running and has no plans to air new episodes or seasons. It has a high IMDb audience rating of 7.7 (182,534 votes) and was very well received by critics.</t>
  </si>
  <si>
    <t>Netflix,TBS</t>
  </si>
  <si>
    <t>The Shield</t>
  </si>
  <si>
    <t>The story of an inner-city Los Angeles police precinct where some of the cops aren't above breaking the rules or working against their associates to both keep the streets safe and their self-interests intact.The Shield featuring Michael Chiklis and Walton Goggins has one or more episodes streaming with subscription on Hulu, available for purchase on Google Play, available for purchase on Prime Video, and 3 others. It's an action &amp; adventure and crime show with 92 episodes over 7 seasons. The Shield is no longer running and has no plans to air new episodes or seasons. It has a high IMDb audience rating of 8.7 (70,248 votes) and was very well received by critics.</t>
  </si>
  <si>
    <t>Line of Duty</t>
  </si>
  <si>
    <t>A drama about the investigations of AC-12, a controversial police anticorruption unit.Line of Duty featuring Martin Compston and Vicky McClure has one or more episodes streaming with subscription on Hulu, streaming on AcornTV, streaming via tv everywhere with AMC, and 9 others. It's a crime and drama show with 30 episodes over 5 seasons. Line of Duty is still airing with no announced date for the next episode or season. It has a high IMDb audience rating of 8.7 (30,298 votes) and was very well received by critics.</t>
  </si>
  <si>
    <t>Hulu,AcornTV,AMC</t>
  </si>
  <si>
    <t>Bodyguard</t>
  </si>
  <si>
    <t>Thriller,Crime</t>
  </si>
  <si>
    <t>A troubled war veteran is assigned to protect a controversial politician who may be the target of a terror plot.Bodyguard featuring Richard Madden and Keeley Hawes has one or more episodes streaming with subscription on Netflix. It's an action &amp; adventure and crime show with 6 episodes over 1 season. Bodyguard is no longer running and has no plans to air new episodes or seasons. It has a high IMDb audience rating of 8.1 (87,648 votes) and was very well received by critics.</t>
  </si>
  <si>
    <t>YOU</t>
  </si>
  <si>
    <t>A dangerously charming, intensely obsessive young man goes to extreme measures to insert himself into the lives of those he is transfixed by.YOU featuring Victoria Pedretti and Jenna Ortega has one or more episodes streaming with subscription on Netflix, available for purchase on Google Play, available for purchase on Prime Video, and 2 others. It's a crime and drama show with 20 episodes over 2 seasons. YOU is still airing with no announced date for the next episode or season. It has a high IMDb audience rating of 7.8 (130,182 votes) and was very well received by critics.</t>
  </si>
  <si>
    <t>Friday Night Lights</t>
  </si>
  <si>
    <t>The trials and triumphs of life in the small town of Dillon, Texas, where high school football is everything.Friday Night Lights featuring Kyle Chandler and Connie Britton has one or more episodes streaming with subscription on Hulu, streaming on Starz, streaming via tv everywhere with NBC (Via Cable/Satellite Provider), and 8 others. It's a drama and sport show with 76 episodes over 5 seasons. Friday Night Lights is no longer running and has no plans to air new episodes or seasons. It has a high IMDb audience rating of 8.6 (54,737 votes) and was very well received by critics.</t>
  </si>
  <si>
    <t>Free Services,Hulu,Starz</t>
  </si>
  <si>
    <t>Succession</t>
  </si>
  <si>
    <t>The lives of the Roy family as they contemplate their future once their aging father begins to step back from the media and entertainment conglomerate they control.Succession featuring Brian Cox and Jeremy Strong has one or more episodes streaming with subscription on HBO MAX, streaming on HBO, available for purchase on iTunes, and 4 others. It's a drama show with 20 episodes over 2 seasons. Succession is still airing with no announced date for the next episode or season. It has a high IMDb audience rating of 8.6 (33,935 votes) and was very well received by critics.</t>
  </si>
  <si>
    <t>Bosch</t>
  </si>
  <si>
    <t>Based on Michael Connelly's best-selling novels, these are the stories of relentless LAPD homicide Detective Harry Bosch who pursues justice at all costs. But behind his tireless momentum is a man who is haunted by his past and struggles to remain loyal to his personal code: “Everybody counts or nobody counts.”Bosch featuring Titus Welliver and Jamie Hector has one or more episodes streaming with subscription on Prime Video. It's a crime and drama show with 60 episodes over 6 seasons. Bosch is still airing with no announced date for the next episode or season. It has a high IMDb audience rating of 8.4 (43,373 votes) and was very well received by critics.</t>
  </si>
  <si>
    <t>Deadwood</t>
  </si>
  <si>
    <t>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Swearengen.Deadwood featuring Timothy Olyphant and Ian McShane has one or more episodes streaming with subscription on HBO MAX, streaming on HBO, available for purchase on iTunes, and 5 others. It's a crime and drama show with 36 episodes over 3 seasons. Deadwood is no longer running and has no plans to air new episodes or seasons. It has a high IMDb audience rating of 8.6 (92,159 votes) and was very well received by critics.</t>
  </si>
  <si>
    <t>Pretty Little Liars</t>
  </si>
  <si>
    <t>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"A" who threatens to expose their secrets — including long-hidden ones they thought only Alison knew.Pretty Little Liars featuring Troian Bellisario and Ashley Benson has one or more episodes streaming with subscription on HBO MAX, streaming with subscription on Hulu, free on Freeform, and 6 others. It's a drama and mystery show with 172 episodes over 7 seasons. Pretty Little Liars is no longer running and has no plans to air new episodes or seasons. It has a better than average IMDb audience rating of 7.4 (149,168 votes) and was well received by critics.</t>
  </si>
  <si>
    <t>Raised by Wolves</t>
  </si>
  <si>
    <t>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humans.Raised by Wolves featuring Amanda Collin and Abubakar Salim has one or more episodes streaming with subscription on HBO MAX. It's a drama and fantasy show with 5 episodes over 1 season. Raised by Wolves has a new episode airing on September 17th, 2020 (PDT). It has a high IMDb audience rating of 8.6 (7,838 votes) and was well received by critics.</t>
  </si>
  <si>
    <t>HBO MAX</t>
  </si>
  <si>
    <t>Watchmen</t>
  </si>
  <si>
    <t>Set in an alternate history where “superheroes” are treated as outlaws, “Watchmen” embraces the nostalgia of the original groundbreaking graphic novel while attempting to break new ground of its own.Watchmen featuring Regina King and Tim Blake Nelson has one or more episodes streaming with subscription on HBO MAX, streaming on HBO, available for purchase on Google Play, and 2 others. It's an action &amp; adventure and crime show with 9 episodes over 1 season. Watchmen is no longer running and has no plans to air new episodes or seasons. It has a high IMDb audience rating of 8.1 (78,278 votes) and was very well received by critics.</t>
  </si>
  <si>
    <t>Death Note</t>
  </si>
  <si>
    <t>Animation,Anime</t>
  </si>
  <si>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against?Death Note featuring Mamoru Miyano and Kappei Yamaguchi has one or more episodes streaming with subscription on Netflix, streaming with subscription on HBO MAX, streaming with subscription on Hulu, and 7 others. It's an animation and anime show with 37 episodes over 1 season. Death Note is no longer running and has no plans to air new episodes or seasons. It has a high IMDb audience rating of 9.0 (218,602 votes).</t>
  </si>
  <si>
    <t>Atlanta</t>
  </si>
  <si>
    <t>Two cousins, with different views on art versus commerce, on their way up through the Atlanta rap scene; Earnest 'Earn' Marks, an ambitious college dropout and his estranged cousin, who suddenly becomes a star.Atlanta featuring Donald Glover and Brian Tyree Henry has one or more episodes streaming with subscription on Hulu, streaming via tv everywhere with FX (Via Cable/Satellite Provider), streaming via tv everywhere with FOX (Via Cable/Satellite Provider), and 5 others. It's a comedy and drama show with 21 episodes over 2 seasons. Atlanta is still airing with no announced date for the next episode or season. It has a high IMDb audience rating of 8.6 (48,754 votes) and was very well received by critics.</t>
  </si>
  <si>
    <t>Hulu,FX,FOX</t>
  </si>
  <si>
    <t>Bates Motel</t>
  </si>
  <si>
    <t>A "contemporary prequel"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life.Bates Motel featuring Vera Farmiga and Freddie Highmore has one or more episodes streaming with subscription on Netflix, available for purchase on iTunes, available for purchase on Google Play, and 3 others. It's a crime and drama show with 50 episodes over 5 seasons. Bates Motel is no longer running and has no plans to air new episodes or seasons. It has a high IMDb audience rating of 8.2 (94,620 votes) and was very well received by critics.</t>
  </si>
  <si>
    <t>Marvel's The Punisher</t>
  </si>
  <si>
    <t>A former Marine out to punish the criminals responsible for his family's murder finds himself ensnared in a military conspiracy.Marvel's The Punisher featuring Jon Bernthal and Ben Barnes has one or more episodes streaming with subscription on Netflix, available for purchase on Google Play, available for purchase on Prime Video, and 2 others. It's an action &amp; adventure and crime show with 26 episodes over 2 seasons. Marvel's The Punisher is no longer running and has no plans to air new episodes or seasons. It has a high IMDb audience rating of 8.5 (175,422 votes) and was met with mixed reviews by critics.</t>
  </si>
  <si>
    <t>The Leftovers</t>
  </si>
  <si>
    <t>When 2% of the world's population abruptly disappears without explanation, the world struggles to understand just what they're supposed to do about it. The drama series 'The Leftovers' is the story of the people who didn't make the cut. Based on the bestselling novel by Tom Perrotta, 'The Leftovers' follows Kevin Garvey, a father of two and the chief of police in a small New York suburb, as he tries to maintain some semblance of normalcy when the notion no longer applies.The Leftovers featuring Justin Theroux and Amy Brenneman has one or more episodes streaming with subscription on HBO MAX, streaming on HBO, available for purchase on iTunes, and 4 others. It's a drama and fantasy show with 28 episodes over 3 seasons. The Leftovers is no longer running and has no plans to air new episodes or seasons. It has a high IMDb audience rating of 8.3 (75,793 votes) and was very well received by critics.</t>
  </si>
  <si>
    <t>Doom Patrol</t>
  </si>
  <si>
    <t>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find.Doom Patrol featuring Diane Guerrero and April Bowlby has one or more episodes streaming with subscription on HBO MAX, streaming with subscription on DC Universe, available for purchase on Google Play, and 2 others. It's an action &amp; adventure and comedy show with 24 episodes over 2 seasons. Doom Patrol is still airing with no announced date for the next episode or season. It has a high IMDb audience rating of 8.0 (30,261 votes) and was very well received by critics.</t>
  </si>
  <si>
    <t>HBO MAX,DC Universe</t>
  </si>
  <si>
    <t>Mr. Bean</t>
  </si>
  <si>
    <t>Comedy,Family</t>
  </si>
  <si>
    <t>Mr Bean turns simple everyday tasks into chaotic situations and will leave you in stitches as he creates havoc wherever he goes.Mr. Bean featuring Rowan Atkinson and Matilda Ziegler has one or more episodes streaming with subscription on Prime Video, streaming with subscription on Hulu, free on Plex, and 7 others. It's a comedy and family show with 16 episodes over 1 season. Mr. Bean is no longer running and has no plans to air new episodes or seasons. It has a high IMDb audience rating of 8.5 (98,878 votes) and was very well received by critics.</t>
  </si>
  <si>
    <t>Free Services,Prime Video,Hulu</t>
  </si>
  <si>
    <t>The Sinner</t>
  </si>
  <si>
    <t>A young mother kills a stranger in a fit of unexplainable rage. An inquisitive detective obsesses over the case, attempting to get to the bottom of the true motive behind the act.The Sinner featuring Bill Pullman and Matt Bomer has one or more episodes streaming with subscription on Netflix, streaming via tv everywhere with USA (Via Cable/Satellite Provider), streaming with subscription on fuboTV, and 6 others. It's a crime and drama show with 24 episodes over 3 seasons. The Sinner is still airing with no announced date for the next episode or season. It has a high IMDb audience rating of 7.9 (80,940 votes) and was very well received by critics.</t>
  </si>
  <si>
    <t>Netflix,USA,fuboTV</t>
  </si>
  <si>
    <t>30 Rock</t>
  </si>
  <si>
    <t>30 Rock is an American television comedy series that ran on NBC from October 11, 2006, to January 31, 2013, and was created by Tina Fey. The series, which is loosely based on Fey's experiences as head writer for Saturday Night Live, takes place behind the scenes of a fictional live sketch comedy series depicted as airing on NBC. The series' name refers to 30 Rockefeller Plaza in New York City, the address of the GE Building, in which the NBC Studios are located.30 Rock featuring Tina Fey and Alec Baldwin has one or more episodes streaming with subscription on Prime Video, streaming with subscription on Hulu, free on Peacock, and 5 others. It's a comedy show with 139 episodes over 7 seasons. 30 Rock is no longer running and has no plans to air new episodes or seasons. It has a high IMDb audience rating of 8.2 (109,744 votes) and was well received by critics.</t>
  </si>
  <si>
    <t>The Man in the High Castle</t>
  </si>
  <si>
    <t>Explore what it would be like if the Allied Powers had lost WWII, and Japan and Germany ruled the United States. Based on Philip K. Dick's award-winning novel.The Man in the High Castle featuring Alexa Davalos and Joel de la Fuente has one or more episodes streaming with subscription on Prime Video. It's a drama and fantasy show with 40 episodes over 4 seasons. The Man in the High Castle is no longer running and has no plans to air new episodes or seasons. It has a high IMDb audience rating of 8.0 (82,303 votes) and was well received by critics.</t>
  </si>
  <si>
    <t>Chappelle's Show</t>
  </si>
  <si>
    <t>Comedy,Musical</t>
  </si>
  <si>
    <t>Dave Chappelle's singular point of view is unleashed through a combination of laidback stand-up and street-smart sketches.Chappelle's Show featuring Dave Chappelle has one or more episodes streaming on CBS All Access, streaming via tv everywhere with Comedy Central (Via Cable/Satellite Provider), free on Comedy Central, and 9 others. It's a comedy and musical show with 30 episodes over 3 seasons. Chappelle's Show is no longer running and has no plans to air new episodes or seasons. It has a high IMDb audience rating of 8.8 (51,813 votes) and was very well received by critics.</t>
  </si>
  <si>
    <t>Free Services,CBS All Access,Comedy Central</t>
  </si>
  <si>
    <t>Elementary</t>
  </si>
  <si>
    <t>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Watson.Elementary featuring Jonny Lee Miller and Lucy Liu has one or more episodes streaming with subscription on Hulu, available for purchase on iTunes, available for purchase on Google Play, and 3 others. It's a crime and drama show with 156 episodes over 7 seasons. Elementary is no longer running and has no plans to air new episodes or seasons. It has a high IMDb audience rating of 7.9 (99,587 votes) and was very well received by critics.</t>
  </si>
  <si>
    <t>Bob's Burgers</t>
  </si>
  <si>
    <t>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"grand re-re-re-opening" a success.Bob's Burgers featuring H. Jon Benjamin and Kristen Schaal has one or more episodes streaming with subscription on Hulu, streaming via tv everywhere with FX (Via Cable/Satellite Provider), streaming via tv everywhere with TBS, and 11 others. It's an animation and comedy show with 195 episodes over 10 seasons. Bob's Burgers has a new episode airing on September 27th, 2020 (PDT). It has a high IMDb audience rating of 8.1 (62,461 votes) and was very well received by critics.</t>
  </si>
  <si>
    <t>Naruto Shippūden</t>
  </si>
  <si>
    <t>Naruto Shippuuden is the continuation of the original animated TV series Naruto.The story revolves around an older and slightly more matured Uzumaki Naruto and his quest to save his friend Uchiha Sasuke from the grips of the snake-like Shinobi, Orochimaru. After 2 and a half years Naruto finally returns to his village of Konoha, and sets about putting his ambitions to work, though it will not be easy, as He has amassed a few (more dangerous) enemies, in the likes of the shinobi organization; Akatsuki.Naruto Shippūden featuring Kazuhiko Inoue and Akira Ishida has one or more episodes streaming with subscription on Hulu, streaming via tv everywhere with Adult Swim (Via Cable/Satellite Provider), free on Adult Swim, and 3 others. It's an action &amp; adventure and animation show with 1,257 episodes over 24 seasons. Naruto Shippūden is no longer running and has no plans to air new episodes or seasons. It has a high IMDb audience rating of 8.6 (75,896 votes).</t>
  </si>
  <si>
    <t>24 Seasons</t>
  </si>
  <si>
    <t>Free Services,Hulu,Adult Swim</t>
  </si>
  <si>
    <t>Dead to Me</t>
  </si>
  <si>
    <t>A hotheaded widow searching for the hit-and-run driver who mowed down her husband befriends an eccentric optimist who isn't quite what she seems.Dead to Me featuring Christina Applegate and Linda Cardellini has one or more episodes streaming with subscription on Netflix. It's a comedy and crime show with 20 episodes over 2 seasons. Dead to Me is still airing with no announced date for the next episode or season. It has a high IMDb audience rating of 8.0 (49,398 votes) and was very well received by critics.</t>
  </si>
  <si>
    <t>Misfits</t>
  </si>
  <si>
    <t>When five young outsiders on Community Service get caught in a strange storm, they discover that they have developed superpowers.Misfits featuring Joseph Gilgun and Karla Crome has one or more episodes streaming with subscription on Hulu, available for purchase on iTunes, available for purchase on Google Play, and 3 others. It's a comedy and drama show with 39 episodes over 5 seasons. Misfits is no longer running and has no plans to air new episodes or seasons. It has a high IMDb audience rating of 8.2 (90,882 votes) and was very well received by critics.</t>
  </si>
  <si>
    <t>Altered Carbon</t>
  </si>
  <si>
    <t>Mystery,Science-Fiction</t>
  </si>
  <si>
    <t>After 250 years on ice, a prisoner returns to life in a new body with one chance to win his freedom: by solving a mind-bending murder.Altered Carbon featuring Ato Essandoh and Chris Conner has one or more episodes streaming with subscription on Netflix. It's an action &amp; adventure and drama show with 18 episodes over 2 seasons. Altered Carbon is still airing with no announced date for the next episode or season. It has a high IMDb audience rating of 8.0 (136,369 votes) and was met with mixed reviews by critics.</t>
  </si>
  <si>
    <t>Good Girls</t>
  </si>
  <si>
    <t>Three "good girl" suburban wives and mothers suddenly find themselves in desperate circumstances and decide to stop playing it safe and risk everything to take their power back.Good Girls featuring Christina Hendricks and Mae Whitman has one or more episodes streaming with subscription on Netflix, streaming with subscription on Hulu, free on NBC, and 6 others. It's a comedy and crime show with 35 episodes over 3 seasons. Good Girls is still airing with no announced date for the next episode or season. It has a high IMDb audience rating of 7.9 (29,022 votes) and was well received by critics.</t>
  </si>
  <si>
    <t>Teen Wolf</t>
  </si>
  <si>
    <t>Horror,Comedy</t>
  </si>
  <si>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them.Teen Wolf featuring Tyler Posey and Dylan O'Brien has one or more episodes streaming with subscription on Prime Video, available for purchase on iTunes, available for purchase on Google Play, and 3 others. It's an action &amp; adventure and comedy show with 100 episodes over 6 seasons. Teen Wolf is no longer running and has no plans to air new episodes or seasons. It has a high IMDb audience rating of 7.6 (122,603 votes) and was well received by critics.</t>
  </si>
  <si>
    <t>Good Omens</t>
  </si>
  <si>
    <t>Aziraphale, an angel, and Crowley, a demon, join forces to find the Antichrist and stop Armageddon.Good Omens featuring Michael Sheen and David Tennant has one or more episodes streaming with subscription on Prime Video, available for purchase on Google Play, and available for purchase on YouTube. It's a comedy and drama show with 6 episodes over 1 season. Good Omens is no longer running and has no plans to air new episodes or seasons. It has a high IMDb audience rating of 8.1 (53,820 votes) and was well received by critics.</t>
  </si>
  <si>
    <t>Master of None</t>
  </si>
  <si>
    <t>30-year-old New York actor Dev takes on such pillars of maturity as the first big job, a serious relationship, and busting sex offenders on the subway.Master of None featuring Aziz Ansari and Eric Wareheim has one or more episodes streaming with subscription on Netflix. It's a comedy and drama show with 20 episodes over 2 seasons. Master of None is no longer running and has no plans to air new episodes or seasons. It has a high IMDb audience rating of 8.3 (63,764 votes) and was very well received by critics.</t>
  </si>
  <si>
    <t>Barry</t>
  </si>
  <si>
    <t>Comedy,Action &amp; Adventure</t>
  </si>
  <si>
    <t>A hit man from the Midwest moves to Los Angeles and gets caught up in the city's theatre arts scene.Barry featuring Bill Hader and Stephen Root has one or more episodes streaming with subscription on HBO MAX, streaming on HBO, available for purchase on iTunes, and 4 others. It's an action &amp; adventure and comedy show with 16 episodes over 2 seasons. Barry is still airing with no announced date for the next episode or season. It has a high IMDb audience rating of 8.3 (41,329 votes) and was very well received by critics.</t>
  </si>
  <si>
    <t>Tom Clancy's Jack Ryan</t>
  </si>
  <si>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allies.Tom Clancy's Jack Ryan featuring John Krasinski and Wendell Pierce has one or more episodes streaming with subscription on Prime Video, available for purchase on iTunes, available for purchase on Google Play, and 2 others. It's an action &amp; adventure and drama show with 16 episodes over 2 seasons. Tom Clancy's Jack Ryan is still airing with no announced date for the next episode or season. It has a high IMDb audience rating of 8.1 (83,760 votes) and was well received by critics.</t>
  </si>
  <si>
    <t>The Pacific</t>
  </si>
  <si>
    <t>Track the intertwined real-life stories of three U.S. Marines – Robert Leckie, John Basilone, and Eugene Sledge – across the vast canvas of the Pacific Theater during World War II. A companion piece to the 2001 miniseries Band of Brothers.The Pacific featuring James Badge Dale and Jon Seda has one or more episodes streaming with subscription on HBO MAX, streaming on HBO, streaming with subscription on Prime Video, and 5 others. It's an action &amp; adventure and drama show with 10 episodes over 1 season. The Pacific is no longer running and has no plans to air new episodes or seasons. It has a high IMDb audience rating of 8.3 (96,659 votes) and was very well received by critics.</t>
  </si>
  <si>
    <t>Making a Murderer</t>
  </si>
  <si>
    <t>Documentary,Crime</t>
  </si>
  <si>
    <t>Filmed over 10 years, this real-life thriller follows a DNA exoneree who, while exposing police corruption, becomes a suspect in a grisly new crime.Making a Murderer featuring Kathleen Zellner and Steven Avery has one or more episodes streaming with subscription on Netflix. It's a crime and documentary show with 20 episodes over 2 seasons. Making a Murderer is no longer running and has no plans to air new episodes or seasons. It has a high IMDb audience rating of 8.6 (84,429 votes) and was well received by critics.</t>
  </si>
  <si>
    <t>Unorthodox</t>
  </si>
  <si>
    <t>Drama,2020</t>
  </si>
  <si>
    <t>A Hasidic Jewish woman in Brooklyn flees to Berlin from an arranged marriage and is taken in by a group of musicians -- until her past comes calling.Unorthodox featuring Shira Haas and Tamar Amit-Joseph has one or more episodes streaming with subscription on Netflix. It's a drama show with 4 episodes over 1 season. Unorthodox is no longer running and has no plans to air new episodes or seasons. It has a high IMDb audience rating of 8.0 (45,901 votes) and was very well received by critics.</t>
  </si>
  <si>
    <t>Documentary-style sitcom sets in the offices of a Slough paper merchant.The Office featuring Ricky Gervais and Martin Freeman has one or more episodes streaming with subscription on HBO MAX, streaming with subscription on Hulu, streaming on BritBox, and 6 others. It's a comedy and drama show with 14 episodes over 3 seasons. The Office is no longer running and has no plans to air new episodes or seasons. It has a high IMDb audience rating of 8.5 (95,723 votes) and was very well received by critics.</t>
  </si>
  <si>
    <t>The Good Wife</t>
  </si>
  <si>
    <t>Alicia Florrick boldly assumes full responsibility for her family and re-enters the workforce after her husband's very public sex and political corruption scandal lands him in jail.The Good Wife featuring Julianna Margulies and Matt Czuchry has one or more episodes streaming with subscription on Prime Video, streaming on CBS All Access, available for purchase on iTunes, and 4 others. It's a crime and drama show with 158 episodes over 7 seasons. The Good Wife is no longer running and has no plans to air new episodes or seasons. It has a high IMDb audience rating of 8.3 (66,886 votes) and was very well received by critics.</t>
  </si>
  <si>
    <t>Prime Video,CBS All Access</t>
  </si>
  <si>
    <t>Taboo</t>
  </si>
  <si>
    <t>Adventurer James Keziah Delaney returns to London from Africa in 1814 along with fourteen stolen diamonds to seek vengeance after the death of his father.Taboo featuring Tom Hardy and Jonathan Pryce has one or more episodes streaming with subscription on Hulu, available for purchase on iTunes, available for purchase on Google Play, and 5 others. It's an action &amp; adventure and drama show with 8 episodes over 1 season. Taboo is still airing with no announced date for the next episode or season. It has a high IMDb audience rating of 8.4 (112,015 votes) and was well received by critics.</t>
  </si>
  <si>
    <t>Lovecraft Country</t>
  </si>
  <si>
    <t>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paperback.Lovecraft Country featuring Jonathan Majors and Jurnee Smollett has one or more episodes streaming with subscription on HBO MAX, and streaming on HBO. It's a drama and fantasy show with 5 episodes over 1 season. Lovecraft Country has a new episode airing on September 20th, 2020 (PDT). It has a better than average IMDb audience rating of 7.3 (11,027 votes) and was well received by critics.</t>
  </si>
  <si>
    <t>Upload</t>
  </si>
  <si>
    <t>Comedy,Mystery</t>
  </si>
  <si>
    <t>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world.Upload featuring Robbie Amell and Andy Allo has one or more episodes streaming with subscription on Prime Video. It's a comedy and fantasy show with 10 episodes over 1 season. Upload is still airing with no announced date for the next episode or season. It has a high IMDb audience rating of 8.0 (31,246 votes) and was well received by critics.</t>
  </si>
  <si>
    <t>Elite</t>
  </si>
  <si>
    <t>When three working class kids enroll in the most exclusive school in Spain, the clash between the wealthy and the poor students leads to tragedy.Elite featuring Itzan Escamilla and Mina El Hammani has one or more episodes streaming with subscription on Netflix. It's a crime and drama show with 24 episodes over 3 seasons. Elite is still airing with no announced date for the next episode or season. It has a high IMDb audience rating of 7.6 (41,883 votes) and was very well received by critics.</t>
  </si>
  <si>
    <t>Doctor Who</t>
  </si>
  <si>
    <t>The Doctor is a Time Lord: a 900 year old alien with 2 hearts, part of a gifted civilization who mastered time travel. The Doctor saves planets for a living—more of a hobby actually, and the Doctor's very, very good at it.Doctor Who featuring Jodie Whittaker and Mandip Gill has one or more episodes streaming with subscription on HBO MAX, streaming via tv everywhere with BBC America (Via Cable/Satellite Provider), available for purchase on iTunes, and 5 others. It's an action &amp; adventure and drama show with 151 episodes over 12 seasons. Doctor Who is still airing with no announced date for the next episode or season. It has a high IMDb audience rating of 8.6 (195,628 votes).</t>
  </si>
  <si>
    <t>HBO MAX,BBC America</t>
  </si>
  <si>
    <t>Our Planet</t>
  </si>
  <si>
    <t>Documentary,2019</t>
  </si>
  <si>
    <t>Experience our planet's natural beauty and examine how climate change impacts all living creatures in this ambitious documentary of spectacular scope.Our Planet featuring David Attenborough has one or more episodes streaming with subscription on Netflix. It's a documentary show with 8 episodes over 1 season. Our Planet is no longer running and has no plans to air new episodes or seasons. It has a very high IMDb audience rating of 9.3 (28,428 votes) and was very well received by critics.</t>
  </si>
  <si>
    <t>Star Wars: The Clone Wars</t>
  </si>
  <si>
    <t>Animation,Children</t>
  </si>
  <si>
    <t>Yoda, Obi-Wan Kenobi, Anakin Skywalker, Mace Windu and other Jedi Knights lead the Grand Army of the Republic against the droid army of the Separatists.Star Wars: The Clone Wars featuring James Arnold Taylor and Corey Burton has one or more episodes streaming with subscription on Disney+, available for purchase on iTunes, available for purchase on Google Play, and 3 others. It's an action &amp; adventure and animation show with 133 episodes over 7 seasons. Star Wars: The Clone Wars is no longer running and has no plans to air new episodes or seasons. It has a high IMDb audience rating of 8.2 (54,477 votes) and was very well received by critics.</t>
  </si>
  <si>
    <t>American Horror Story</t>
  </si>
  <si>
    <t>An anthology horror drama series centering on different characters and locations, including a house with a murderous past, an asylum, a witch coven, a freak show, a hotel, a farmhouse in Roanoke and a cult.American Horror Story featuring Emma Roberts and Billie Lourd has one or more episodes streaming with subscription on Netflix, streaming with subscription on Prime Video, streaming with subscription on Hulu, and 5 others. It's a drama and fantasy show with 104 episodes over 9 seasons. American Horror Story is still airing with no announced date for the next episode or season. It has a high IMDb audience rating of 8.0 (268,983 votes).</t>
  </si>
  <si>
    <t>One Piece</t>
  </si>
  <si>
    <t>Years ago, the fearsome pirate king Gol D. Roger was executed, leaving a huge pile of treasure and the famous "One Piece" behind. Whoever claims the "One Piece" will be named the new pirate king. Monkey D. Luffy, a boy who consumed one of the "Devil's Fruits", has it in his head that he'll follow in the footsteps of his idol, the pirate Shanks, and find the One Piece. It helps, of course, that his body has the properties of rubber and he's surrounded by a bevy of skilled fighters and thieves to help him along the way. Monkey D. Luffy brings a bunch of his crew followed by, Roronoa Zoro, Nami, Usopp, Sanji, Tony-Tony Chopper, Nico Robin, Franky, and Brook. They will do anything to get the One Piece and become King of the Pirates!One Piece featuring Mayumi Tanaka and Kazuya Nakai has one or more episodes streaming with subscription on Netflix, streaming with subscription on Hulu, streaming with subscription on Crunchyroll, and 3 others. It's an action &amp; adventure and animation show with 1,954 episodes over 19 seasons. One Piece is still airing with no announced date for the next episode or season. It has a high IMDb audience rating of 8.7 (62,320 votes).</t>
  </si>
  <si>
    <t>19 Seasons</t>
  </si>
  <si>
    <t>Castle</t>
  </si>
  <si>
    <t>After a serial killer imitates the plots of his novels, successful mystery novelist Richard "Rick" Castle receives permission from the Mayor of New York City to tag along with an NYPD homicide investigation team for research purposes.Castle featuring Nathan Fillion and Stana Katic has one or more episodes available for purchase on iTunes, available for purchase on Google Play, available for purchase on Prime Video, and 3 others. It's a comedy and crime show with 173 episodes over 8 seasons. Castle is no longer running and has no plans to air new episodes or seasons. It has a high IMDb audience rating of 8.1 (138,237 votes) and was well received by critics.</t>
  </si>
  <si>
    <t>11.22.63</t>
  </si>
  <si>
    <t>An English teacher travels back in time to prevent the Kennedy assassination, but discovers he is attached to the life he has made in a bygone era.11.22.63 featuring James Franco and Sarah Gadon has one or more episodes streaming with subscription on Hulu, available for purchase on iTunes, available for purchase on Google Play, and 4 others. It's a drama and fantasy show with 8 episodes over 1 season. 11.22.63 is no longer running and has no plans to air new episodes or seasons. It has a high IMDb audience rating of 8.2 (69,556 votes) and was well received by critics.</t>
  </si>
  <si>
    <t>A raw family drama set against the world of Mixed Martial Arts (MMA) in Venice, California. Alvey Kulina owns Navy St. MMA with the help of his girlfriend Lisa Prince. He is willing to go through extraordinary means to make sure his fighters are taken care of, but all of this responsibility comes at a steep price. He has complicated relationships with both of his sons, Jay and Nate, who are both struggling with their own identities and places within Alvey’s life and gym.Kingdom featuring Frank Grillo and Jonathan Tucker has one or more episodes streaming with subscription on Netflix, available for purchase on iTunes, available for purchase on Google Play, and 1 other. It's a drama and sport show with 40 episodes over 3 seasons. Kingdom is no longer running and has no plans to air new episodes or seasons. It has a high IMDb audience rating of 8.5 (12,294 votes) and was well received by critics.</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</si>
  <si>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</si>
  <si>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Joker?Gotham featuring Ben McKenzie and Donal Logue has one or more episodes streaming with subscription on Netflix, streaming via tv everywhere with FOX (Via Cable/Satellite Provider), available for purchase on iTunes, and 4 others. It's an action &amp; adventure and crime show with 101 episodes over 5 seasons. Gotham is no longer running and has no plans to air new episodes or seasons. It has a high IMDb audience rating of 7.8 (207,849 votes) and was well received by critics.</t>
  </si>
  <si>
    <t>Netflix,FOX</t>
  </si>
  <si>
    <t>Pushing Daisies</t>
  </si>
  <si>
    <t>A pie-maker, with the power to bring dead people back to life, solves murder mysteries with his alive-again childhood sweetheart, a cynical private investigator, and a lovesick waitress.Pushing Daisies featuring Lee Pace and Anna Friel has one or more episodes free on CW Seed, available for purchase on iTunes, available for purchase on Google Play, and 2 others. It's a comedy and crime show with 22 episodes over 2 seasons. Pushing Daisies is no longer running and has no plans to air new episodes or seasons. It has a high IMDb audience rating of 8.3 (52,894 votes) and was very well received by critics.</t>
  </si>
  <si>
    <t>The Night Manager</t>
  </si>
  <si>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criminal.The Night Manager featuring Tom Hiddleston and Hugh Laurie has one or more episodes streaming with subscription on Prime Video, available for purchase on iTunes, available for purchase on Google Play, and 2 others. It's an action &amp; adventure and crime show with 6 episodes over 1 season. The Night Manager is no longer running and has no plans to air new episodes or seasons. It has a high IMDb audience rating of 8.1 (67,680 votes) and was very well received by critics.</t>
  </si>
  <si>
    <t>Grimm</t>
  </si>
  <si>
    <t>After Portland homicide detective Nick Burkhardt discovers he's descended from an elite line of criminal profilers known as "Grimms," he increasingly finds his responsibilities as a detective at odds with his new responsibilities as a Grimm.Grimm featuring David Giuntoli and Silas Weir Mitchell has one or more episodes streaming with subscription on Prime Video, available for purchase on iTunes, available for purchase on Google Play, and 2 others. It's an action &amp; adventure and crime show with 123 episodes over 6 seasons. Grimm is no longer running and has no plans to air new episodes or seasons. It has a high IMDb audience rating of 7.8 (107,421 votes) and was very well received by critics.</t>
  </si>
  <si>
    <t>Hunter x Hunter</t>
  </si>
  <si>
    <t>Twelve-year-old Gon Freecss one day discovers that the father he had always been told was dead was alive and well. His Father, Ging, is a Hunter—a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world.Hunter x Hunter featuring 潘惠美 and Mariya Ise has one or more episodes streaming with subscription on Netflix, streaming with subscription on HBO MAX, streaming with subscription on Hulu, and 10 others. It's an action &amp; adventure and animation show with 274 episodes over 6 seasons. Hunter x Hunter is no longer running and has no plans to air new episodes or seasons. It has a high IMDb audience rating of 8.9 (48,134 votes).</t>
  </si>
  <si>
    <t>Bones</t>
  </si>
  <si>
    <t>Mystery,Comedy</t>
  </si>
  <si>
    <t>Dr. Temperance Brennan and her colleagues at the Jeffersonian's Medico-Legal Lab assist Special Agent Seeley Booth with murder investigations when the remains are so badly decomposed, burned or destroyed that the standard identification methods are useless.Bones featuring Emily Deschanel and David Boreanaz has one or more episodes streaming with subscription on Prime Video, streaming with subscription on Hulu, streaming via tv everywhere with TNT, and 3 others. It's a comedy and crime show with 247 episodes over 12 seasons. Bones is no longer running and has no plans to air new episodes or seasons. It has a high IMDb audience rating of 7.8 (136,120 votes) and was very well received by critics.</t>
  </si>
  <si>
    <t>Prime Video,Hulu,TNT</t>
  </si>
  <si>
    <t>Ash vs Evil Dead</t>
  </si>
  <si>
    <t>Comedy,Horror</t>
  </si>
  <si>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literal.Ash vs Evil Dead featuring Bruce Campbell and Lucy Lawless has one or more episodes streaming with subscription on Netflix, streaming on Starz, available for purchase on iTunes, and 5 others. It's an action &amp; adventure and comedy show with 32 episodes over 3 seasons. Ash vs Evil Dead is no longer running and has no plans to air new episodes or seasons. It has a high IMDb audience rating of 8.4 (63,009 votes) and was very well received by critics.</t>
  </si>
  <si>
    <t>Frasier</t>
  </si>
  <si>
    <t>Comedy,1993</t>
  </si>
  <si>
    <t>After many years spent at the “Cheers” bar, Frasier moves back home to Seattle to work as a radio psychiatrist after his policeman father gets shot in the hip on duty.Frasier featuring Kelsey Grammer and David Hyde Pierce has one or more episodes streaming with subscription on Hulu, streaming on CBS All Access, free on CBS, and 8 others. It's a comedy show with 264 episodes over 11 seasons. Frasier is no longer running and has no plans to air new episodes or seasons. It has a high IMDb audience rating of 8.0 (71,785 votes) and was very well received by critics.</t>
  </si>
  <si>
    <t>Free Services,Hulu,CBS All Access</t>
  </si>
  <si>
    <t>The Morning Show</t>
  </si>
  <si>
    <t>A behind-the-scenes look at the lives of the people who help America wake up in the morning, exploring the unique challenges faced by the men and women who carry out this daily televised ritual.The Morning Show featuring Jennifer Aniston and Reese Witherspoon has one or more episodes streaming with subscription on Apple TV+. It's a comedy and drama show with 10 episodes over 1 season. The Morning Show is still airing with no announced date for the next episode or season. It has a high IMDb audience rating of 8.4 (41,437 votes) and was met with mixed reviews by critics.</t>
  </si>
  <si>
    <t>Russian Doll</t>
  </si>
  <si>
    <t>Nadia keeps dying and reliving her 36th birthday party. She's trapped in a surreal time loop -- and staring down the barrel of her own mortality.Russian Doll featuring Natasha Lyonne and Greta Lee has one or more episodes streaming with subscription on Netflix. It's a comedy and drama show with 8 episodes over 1 season. Russian Doll is still airing with no announced date for the next episode or season. It has a high IMDb audience rating of 7.9 (61,986 votes) and was very well received by critics.</t>
  </si>
  <si>
    <t>One-Punch Man</t>
  </si>
  <si>
    <t>Veronica Mars</t>
  </si>
  <si>
    <t>Oz</t>
  </si>
  <si>
    <t>Atypical</t>
  </si>
  <si>
    <t>After Life</t>
  </si>
  <si>
    <t>Steins;Gate</t>
  </si>
  <si>
    <t>Star Trek</t>
  </si>
  <si>
    <t>Banshee</t>
  </si>
  <si>
    <t>Narcos: Mexico</t>
  </si>
  <si>
    <t>Sharp Objects</t>
  </si>
  <si>
    <t>Battlestar Galactica</t>
  </si>
  <si>
    <t>Black Sails</t>
  </si>
  <si>
    <t>The OA</t>
  </si>
  <si>
    <t>Veep</t>
  </si>
  <si>
    <t>Gilmore Girls</t>
  </si>
  <si>
    <t>The Outsider</t>
  </si>
  <si>
    <t>Big Mouth</t>
  </si>
  <si>
    <t>The Newsroom</t>
  </si>
  <si>
    <t>Drama,2012</t>
  </si>
  <si>
    <t>Person of Interest</t>
  </si>
  <si>
    <t>The Alienist</t>
  </si>
  <si>
    <t>Preacher</t>
  </si>
  <si>
    <t>Never Have I Ever</t>
  </si>
  <si>
    <t>True Blood</t>
  </si>
  <si>
    <t>Fawlty Towers</t>
  </si>
  <si>
    <t>Counterpart</t>
  </si>
  <si>
    <t>Ray Donovan</t>
  </si>
  <si>
    <t>Peep Show</t>
  </si>
  <si>
    <t>Halt and Catch Fire</t>
  </si>
  <si>
    <t>Drama,2014</t>
  </si>
  <si>
    <t>Neon Genesis Evangelion</t>
  </si>
  <si>
    <t>Primal</t>
  </si>
  <si>
    <t>Castlevania</t>
  </si>
  <si>
    <t>Downton Abbey</t>
  </si>
  <si>
    <t>The Grand Tour</t>
  </si>
  <si>
    <t>Revenge</t>
  </si>
  <si>
    <t>Endeavour</t>
  </si>
  <si>
    <t>Heroes</t>
  </si>
  <si>
    <t>Power</t>
  </si>
  <si>
    <t>iZombie</t>
  </si>
  <si>
    <t>Gomorrah</t>
  </si>
  <si>
    <t>Spaced</t>
  </si>
  <si>
    <t>Weeds</t>
  </si>
  <si>
    <t>Wynonna Earp</t>
  </si>
  <si>
    <t>Chilling Adventures of Sabrina</t>
  </si>
  <si>
    <t>Lost in Space</t>
  </si>
  <si>
    <t>Anne with an E</t>
  </si>
  <si>
    <t>Drama,Family</t>
  </si>
  <si>
    <t>The Vietnam War</t>
  </si>
  <si>
    <t>His Dark Materials</t>
  </si>
  <si>
    <t>Dragon Ball Z</t>
  </si>
  <si>
    <t>Humans</t>
  </si>
  <si>
    <t>Teenage Bounty Hunters</t>
  </si>
  <si>
    <t>Cosmos</t>
  </si>
  <si>
    <t>Pose</t>
  </si>
  <si>
    <t>Sneaky Pete</t>
  </si>
  <si>
    <t>Tiger King: Murder, Mayhem and Madness</t>
  </si>
  <si>
    <t>Over the Garden Wall</t>
  </si>
  <si>
    <t>Riverdale</t>
  </si>
  <si>
    <t>NCIS</t>
  </si>
  <si>
    <t>GLOW</t>
  </si>
  <si>
    <t>The Jinx: The Life and Deaths of Robert Durst</t>
  </si>
  <si>
    <t>Grace and Frankie</t>
  </si>
  <si>
    <t>Young Justice</t>
  </si>
  <si>
    <t>The Fosters</t>
  </si>
  <si>
    <t>Monty Python's Flying Circus</t>
  </si>
  <si>
    <t>13 Reasons Why</t>
  </si>
  <si>
    <t>Resurrection: Ertugrul</t>
  </si>
  <si>
    <t>Nathan For You</t>
  </si>
  <si>
    <t>A Series of Unfortunate Events</t>
  </si>
  <si>
    <t>Star Trek: Deep Space Nine</t>
  </si>
  <si>
    <t>Santa Clarita Diet</t>
  </si>
  <si>
    <t>The Kominsky Method</t>
  </si>
  <si>
    <t>Unbreakable Kimmy Schmidt</t>
  </si>
  <si>
    <t>The Good Doctor</t>
  </si>
  <si>
    <t>Drama,2017</t>
  </si>
  <si>
    <t>Into the Badlands</t>
  </si>
  <si>
    <t>Manhunt</t>
  </si>
  <si>
    <t>Borgen</t>
  </si>
  <si>
    <t>Drama,2010</t>
  </si>
  <si>
    <t>The Thick of It</t>
  </si>
  <si>
    <t>I Am Not Okay with This</t>
  </si>
  <si>
    <t>Father Ted</t>
  </si>
  <si>
    <t>American Gods</t>
  </si>
  <si>
    <t>Alias Grace</t>
  </si>
  <si>
    <t>Years and Years</t>
  </si>
  <si>
    <t>The Tudors</t>
  </si>
  <si>
    <t>Godless</t>
  </si>
  <si>
    <t>Drama,Documentary</t>
  </si>
  <si>
    <t>The Knick</t>
  </si>
  <si>
    <t>Gossip Girl</t>
  </si>
  <si>
    <t>Fauda</t>
  </si>
  <si>
    <t>Marvel's Luke Cage</t>
  </si>
  <si>
    <t>That '70s Show</t>
  </si>
  <si>
    <t>Longmire</t>
  </si>
  <si>
    <t>Scandal</t>
  </si>
  <si>
    <t>Maniac</t>
  </si>
  <si>
    <t>Wild Wild Country</t>
  </si>
  <si>
    <t>Dark Matter</t>
  </si>
  <si>
    <t>Masters of Sex</t>
  </si>
  <si>
    <t>Cowboy Bebop</t>
  </si>
  <si>
    <t>Charmed</t>
  </si>
  <si>
    <t>American Vandal</t>
  </si>
  <si>
    <t>Queer Eye</t>
  </si>
  <si>
    <t>Rectify</t>
  </si>
  <si>
    <t>Drama,2013</t>
  </si>
  <si>
    <t>Timeless</t>
  </si>
  <si>
    <t>Demon Slayer: Kimetsu no Yaiba</t>
  </si>
  <si>
    <t>The Great</t>
  </si>
  <si>
    <t>Colony</t>
  </si>
  <si>
    <t>Hell on Wheels</t>
  </si>
  <si>
    <t>Jane the Virgin</t>
  </si>
  <si>
    <t>Haikyu!!</t>
  </si>
  <si>
    <t>Parenthood</t>
  </si>
  <si>
    <t>My Brilliant Friend</t>
  </si>
  <si>
    <t>The Dragon Prince</t>
  </si>
  <si>
    <t>The Borgias</t>
  </si>
  <si>
    <t>My So-Called Life</t>
  </si>
  <si>
    <t>Delhi Crime</t>
  </si>
  <si>
    <t>N/A</t>
  </si>
  <si>
    <t>The Last Ship</t>
  </si>
  <si>
    <t>The Affair</t>
  </si>
  <si>
    <t>Law &amp; Order: Special Victims Unit</t>
  </si>
  <si>
    <t>Star Trek: Voyager</t>
  </si>
  <si>
    <t>The Good Fight</t>
  </si>
  <si>
    <t>The Dark Crystal: Age of Resistance</t>
  </si>
  <si>
    <t>Love</t>
  </si>
  <si>
    <t>Derry Girls</t>
  </si>
  <si>
    <t>Locke &amp; Key</t>
  </si>
  <si>
    <t>Reign</t>
  </si>
  <si>
    <t>Poldark</t>
  </si>
  <si>
    <t>See</t>
  </si>
  <si>
    <t>Limitless</t>
  </si>
  <si>
    <t>HAPPY!</t>
  </si>
  <si>
    <t>Wizards: Tales of Arcadia</t>
  </si>
  <si>
    <t>Marvel's The Defenders</t>
  </si>
  <si>
    <t>The Exorcist</t>
  </si>
  <si>
    <t>Top Boy</t>
  </si>
  <si>
    <t>Call the Midwife</t>
  </si>
  <si>
    <t>Designated Survivor</t>
  </si>
  <si>
    <t>F is for Family</t>
  </si>
  <si>
    <t>The Order</t>
  </si>
  <si>
    <t>The Spy</t>
  </si>
  <si>
    <t>Goliath</t>
  </si>
  <si>
    <t>The Stranger</t>
  </si>
  <si>
    <t>The Deuce</t>
  </si>
  <si>
    <t>The Strain</t>
  </si>
  <si>
    <t>Bloodline</t>
  </si>
  <si>
    <t>Switched at Birth</t>
  </si>
  <si>
    <t>The Terror</t>
  </si>
  <si>
    <t>I May Destroy You</t>
  </si>
  <si>
    <t>Kyle XY</t>
  </si>
  <si>
    <t>Columbo</t>
  </si>
  <si>
    <t>Ripper Street</t>
  </si>
  <si>
    <t>The 4400</t>
  </si>
  <si>
    <t>Little Fires Everywhere</t>
  </si>
  <si>
    <t>Harlots</t>
  </si>
  <si>
    <t>Extras</t>
  </si>
  <si>
    <t>Blue Planet II</t>
  </si>
  <si>
    <t>Top Gear</t>
  </si>
  <si>
    <t>Travelers</t>
  </si>
  <si>
    <t>Queen of the South</t>
  </si>
  <si>
    <t>Chef's Table</t>
  </si>
  <si>
    <t>Fear the Walking Dead</t>
  </si>
  <si>
    <t>Supergirl</t>
  </si>
  <si>
    <t>The Family Man</t>
  </si>
  <si>
    <t>The Bridge</t>
  </si>
  <si>
    <t>The Lost Room</t>
  </si>
  <si>
    <t>John Adams</t>
  </si>
  <si>
    <t>Drama,Biography</t>
  </si>
  <si>
    <t>Planet Earth</t>
  </si>
  <si>
    <t>Into the Night</t>
  </si>
  <si>
    <t>Heartland</t>
  </si>
  <si>
    <t>Lenox Hill</t>
  </si>
  <si>
    <t>One Strange Rock</t>
  </si>
  <si>
    <t>Wentworth</t>
  </si>
  <si>
    <t>Long Way Round</t>
  </si>
  <si>
    <t>Hilda</t>
  </si>
  <si>
    <t>It's Okay to Not Be Okay</t>
  </si>
  <si>
    <t>The Promised Neverland</t>
  </si>
  <si>
    <t>Your Lie in April</t>
  </si>
  <si>
    <t>Agatha Christie's Poirot</t>
  </si>
  <si>
    <t>I, Claudius</t>
  </si>
  <si>
    <t>O.J.: Made in America</t>
  </si>
  <si>
    <t>North &amp; South</t>
  </si>
  <si>
    <t>The Planets</t>
  </si>
  <si>
    <t>Code Geass: Lelouch of the Rebellion</t>
  </si>
  <si>
    <t>Tom and Jerry</t>
  </si>
  <si>
    <t>Crash Landing on You</t>
  </si>
  <si>
    <t>Middleditch &amp; Schwartz</t>
  </si>
  <si>
    <t>Gintama</t>
  </si>
  <si>
    <t>Letterkenny</t>
  </si>
  <si>
    <t>QI</t>
  </si>
  <si>
    <t>Merlí</t>
  </si>
  <si>
    <t>The Bureau</t>
  </si>
  <si>
    <t>The New Edition Story</t>
  </si>
  <si>
    <t>Formula 1: Drive to Survive</t>
  </si>
  <si>
    <t>Yeh Meri Family</t>
  </si>
  <si>
    <t>Rake</t>
  </si>
  <si>
    <t>Dark Side of the Ring</t>
  </si>
  <si>
    <t>SECTION 1 – FORMULAS &amp; FUNCTIONS</t>
  </si>
  <si>
    <r>
      <t>1.</t>
    </r>
    <r>
      <rPr>
        <sz val="7"/>
        <color theme="1"/>
        <rFont val="Times New Roman"/>
        <family val="1"/>
      </rPr>
      <t xml:space="preserve">     </t>
    </r>
    <r>
      <rPr>
        <sz val="14"/>
        <color theme="1"/>
        <rFont val="Times New Roman"/>
        <family val="1"/>
      </rPr>
      <t xml:space="preserve">Calculate the </t>
    </r>
    <r>
      <rPr>
        <b/>
        <sz val="14"/>
        <color theme="1"/>
        <rFont val="Times New Roman"/>
        <family val="1"/>
      </rPr>
      <t>total number of series</t>
    </r>
    <r>
      <rPr>
        <sz val="14"/>
        <color theme="1"/>
        <rFont val="Times New Roman"/>
        <family val="1"/>
      </rPr>
      <t xml:space="preserve"> in the dataset.</t>
    </r>
  </si>
  <si>
    <r>
      <t>2.</t>
    </r>
    <r>
      <rPr>
        <sz val="7"/>
        <color theme="1"/>
        <rFont val="Times New Roman"/>
        <family val="1"/>
      </rPr>
      <t xml:space="preserve">     </t>
    </r>
    <r>
      <rPr>
        <sz val="14"/>
        <color theme="1"/>
        <rFont val="Times New Roman"/>
        <family val="1"/>
      </rPr>
      <t xml:space="preserve">Find the </t>
    </r>
    <r>
      <rPr>
        <b/>
        <sz val="14"/>
        <color theme="1"/>
        <rFont val="Times New Roman"/>
        <family val="1"/>
      </rPr>
      <t>highest IMDb Rating</t>
    </r>
    <r>
      <rPr>
        <sz val="14"/>
        <color theme="1"/>
        <rFont val="Times New Roman"/>
        <family val="1"/>
      </rPr>
      <t>.</t>
    </r>
  </si>
  <si>
    <r>
      <t>3.</t>
    </r>
    <r>
      <rPr>
        <sz val="7"/>
        <color theme="1"/>
        <rFont val="Times New Roman"/>
        <family val="1"/>
      </rPr>
      <t xml:space="preserve">     </t>
    </r>
    <r>
      <rPr>
        <sz val="14"/>
        <color theme="1"/>
        <rFont val="Times New Roman"/>
        <family val="1"/>
      </rPr>
      <t xml:space="preserve">Find the </t>
    </r>
    <r>
      <rPr>
        <b/>
        <sz val="14"/>
        <color theme="1"/>
        <rFont val="Times New Roman"/>
        <family val="1"/>
      </rPr>
      <t>lowest IMDb Rating</t>
    </r>
    <r>
      <rPr>
        <sz val="14"/>
        <color theme="1"/>
        <rFont val="Times New Roman"/>
        <family val="1"/>
      </rPr>
      <t>.</t>
    </r>
  </si>
  <si>
    <r>
      <t>4.</t>
    </r>
    <r>
      <rPr>
        <sz val="7"/>
        <color theme="1"/>
        <rFont val="Times New Roman"/>
        <family val="1"/>
      </rPr>
      <t xml:space="preserve">     </t>
    </r>
    <r>
      <rPr>
        <sz val="14"/>
        <color theme="1"/>
        <rFont val="Times New Roman"/>
        <family val="1"/>
      </rPr>
      <t xml:space="preserve">Calculate the </t>
    </r>
    <r>
      <rPr>
        <b/>
        <sz val="14"/>
        <color theme="1"/>
        <rFont val="Times New Roman"/>
        <family val="1"/>
      </rPr>
      <t>average IMDb Rating</t>
    </r>
    <r>
      <rPr>
        <sz val="14"/>
        <color theme="1"/>
        <rFont val="Times New Roman"/>
        <family val="1"/>
      </rPr>
      <t xml:space="preserve"> of all series.</t>
    </r>
  </si>
  <si>
    <r>
      <t>5.</t>
    </r>
    <r>
      <rPr>
        <sz val="7"/>
        <color theme="1"/>
        <rFont val="Times New Roman"/>
        <family val="1"/>
      </rPr>
      <t xml:space="preserve">     </t>
    </r>
    <r>
      <rPr>
        <sz val="14"/>
        <color theme="1"/>
        <rFont val="Times New Roman"/>
        <family val="1"/>
      </rPr>
      <t xml:space="preserve">Count how many series were </t>
    </r>
    <r>
      <rPr>
        <b/>
        <sz val="14"/>
        <color theme="1"/>
        <rFont val="Times New Roman"/>
        <family val="1"/>
      </rPr>
      <t>released after 2015</t>
    </r>
    <r>
      <rPr>
        <sz val="14"/>
        <color theme="1"/>
        <rFont val="Times New Roman"/>
        <family val="1"/>
      </rPr>
      <t>.</t>
    </r>
  </si>
  <si>
    <r>
      <t>6.</t>
    </r>
    <r>
      <rPr>
        <sz val="7"/>
        <color theme="1"/>
        <rFont val="Times New Roman"/>
        <family val="1"/>
      </rPr>
      <t xml:space="preserve">     </t>
    </r>
    <r>
      <rPr>
        <sz val="14"/>
        <color theme="1"/>
        <rFont val="Times New Roman"/>
        <family val="1"/>
      </rPr>
      <t xml:space="preserve">Count how many series have </t>
    </r>
    <r>
      <rPr>
        <b/>
        <sz val="14"/>
        <color theme="1"/>
        <rFont val="Times New Roman"/>
        <family val="1"/>
      </rPr>
      <t>Content Rating = “18+”</t>
    </r>
    <r>
      <rPr>
        <sz val="14"/>
        <color theme="1"/>
        <rFont val="Times New Roman"/>
        <family val="1"/>
      </rPr>
      <t>.</t>
    </r>
  </si>
  <si>
    <t>Answer</t>
  </si>
  <si>
    <r>
      <t>7.</t>
    </r>
    <r>
      <rPr>
        <sz val="7"/>
        <color theme="1"/>
        <rFont val="Times New Roman"/>
        <family val="1"/>
      </rPr>
      <t xml:space="preserve">     </t>
    </r>
    <r>
      <rPr>
        <sz val="14"/>
        <color theme="1"/>
        <rFont val="Times New Roman"/>
        <family val="1"/>
      </rPr>
      <t xml:space="preserve">Count how many series belong to the </t>
    </r>
    <r>
      <rPr>
        <b/>
        <sz val="14"/>
        <color theme="1"/>
        <rFont val="Times New Roman"/>
        <family val="1"/>
      </rPr>
      <t>Drama genre</t>
    </r>
    <r>
      <rPr>
        <sz val="14"/>
        <color theme="1"/>
        <rFont val="Times New Roman"/>
        <family val="1"/>
      </rPr>
      <t>.</t>
    </r>
  </si>
  <si>
    <r>
      <t xml:space="preserve">8. Find how many series are available on </t>
    </r>
    <r>
      <rPr>
        <b/>
        <sz val="14"/>
        <color theme="1"/>
        <rFont val="Times New Roman"/>
        <family val="1"/>
      </rPr>
      <t>Netflix</t>
    </r>
    <r>
      <rPr>
        <sz val="14"/>
        <color theme="1"/>
        <rFont val="Times New Roman"/>
        <family val="1"/>
      </rPr>
      <t>.</t>
    </r>
  </si>
  <si>
    <t>SECTION 2 – CONDITIONAL FUNCTIONS</t>
  </si>
  <si>
    <r>
      <t xml:space="preserve">8. Count how many series have </t>
    </r>
    <r>
      <rPr>
        <b/>
        <sz val="14"/>
        <color theme="1"/>
        <rFont val="Times New Roman"/>
        <family val="1"/>
      </rPr>
      <t>more than 3 seasons</t>
    </r>
    <r>
      <rPr>
        <sz val="14"/>
        <color theme="1"/>
        <rFont val="Times New Roman"/>
        <family val="1"/>
      </rPr>
      <t>.</t>
    </r>
  </si>
  <si>
    <t>SECTION 3 – VLOOKUP</t>
  </si>
  <si>
    <t>SECTION 4 – HLOOKUP</t>
  </si>
  <si>
    <t>(Assume the data is arranged horizontally for practice)</t>
  </si>
  <si>
    <r>
      <t>1.</t>
    </r>
    <r>
      <rPr>
        <sz val="7"/>
        <color theme="1"/>
        <rFont val="Times New Roman"/>
        <family val="1"/>
      </rPr>
      <t xml:space="preserve">     </t>
    </r>
    <r>
      <rPr>
        <sz val="14"/>
        <color theme="1"/>
        <rFont val="Times New Roman"/>
        <family val="1"/>
      </rPr>
      <t xml:space="preserve">Use </t>
    </r>
    <r>
      <rPr>
        <b/>
        <sz val="14"/>
        <color theme="1"/>
        <rFont val="Times New Roman"/>
        <family val="1"/>
      </rPr>
      <t>HLOOKUP</t>
    </r>
    <r>
      <rPr>
        <sz val="14"/>
        <color theme="1"/>
        <rFont val="Times New Roman"/>
        <family val="1"/>
      </rPr>
      <t xml:space="preserve"> to retrieve the </t>
    </r>
    <r>
      <rPr>
        <b/>
        <sz val="14"/>
        <color theme="1"/>
        <rFont val="Times New Roman"/>
        <family val="1"/>
      </rPr>
      <t>IMDb Rating</t>
    </r>
    <r>
      <rPr>
        <sz val="14"/>
        <color theme="1"/>
        <rFont val="Times New Roman"/>
        <family val="1"/>
      </rPr>
      <t xml:space="preserve"> of a selected series.</t>
    </r>
  </si>
  <si>
    <r>
      <t>2.</t>
    </r>
    <r>
      <rPr>
        <sz val="7"/>
        <color theme="1"/>
        <rFont val="Times New Roman"/>
        <family val="1"/>
      </rPr>
      <t xml:space="preserve">     </t>
    </r>
    <r>
      <rPr>
        <sz val="14"/>
        <color theme="1"/>
        <rFont val="Times New Roman"/>
        <family val="1"/>
      </rPr>
      <t xml:space="preserve">Retrieve the </t>
    </r>
    <r>
      <rPr>
        <b/>
        <sz val="14"/>
        <color theme="1"/>
        <rFont val="Times New Roman"/>
        <family val="1"/>
      </rPr>
      <t>Year Released</t>
    </r>
    <r>
      <rPr>
        <sz val="14"/>
        <color theme="1"/>
        <rFont val="Times New Roman"/>
        <family val="1"/>
      </rPr>
      <t xml:space="preserve"> using HLOOKUP.</t>
    </r>
  </si>
  <si>
    <r>
      <t>3.</t>
    </r>
    <r>
      <rPr>
        <sz val="7"/>
        <color theme="1"/>
        <rFont val="Times New Roman"/>
        <family val="1"/>
      </rPr>
      <t xml:space="preserve">     </t>
    </r>
    <r>
      <rPr>
        <sz val="14"/>
        <color theme="1"/>
        <rFont val="Times New Roman"/>
        <family val="1"/>
      </rPr>
      <t xml:space="preserve">Fetch the </t>
    </r>
    <r>
      <rPr>
        <b/>
        <sz val="14"/>
        <color theme="1"/>
        <rFont val="Times New Roman"/>
        <family val="1"/>
      </rPr>
      <t>Content Rating</t>
    </r>
    <r>
      <rPr>
        <sz val="14"/>
        <color theme="1"/>
        <rFont val="Times New Roman"/>
        <family val="1"/>
      </rPr>
      <t xml:space="preserve"> using HLOOKUP.</t>
    </r>
  </si>
  <si>
    <r>
      <t>4.</t>
    </r>
    <r>
      <rPr>
        <sz val="7"/>
        <color theme="1"/>
        <rFont val="Times New Roman"/>
        <family val="1"/>
      </rPr>
      <t xml:space="preserve">     </t>
    </r>
    <r>
      <rPr>
        <sz val="14"/>
        <color theme="1"/>
        <rFont val="Times New Roman"/>
        <family val="1"/>
      </rPr>
      <t xml:space="preserve">Return the </t>
    </r>
    <r>
      <rPr>
        <b/>
        <sz val="14"/>
        <color theme="1"/>
        <rFont val="Times New Roman"/>
        <family val="1"/>
      </rPr>
      <t>Number of Seasons</t>
    </r>
    <r>
      <rPr>
        <sz val="14"/>
        <color theme="1"/>
        <rFont val="Times New Roman"/>
        <family val="1"/>
      </rPr>
      <t xml:space="preserve"> using HLOOKUP.</t>
    </r>
  </si>
  <si>
    <r>
      <t xml:space="preserve">5. Find the </t>
    </r>
    <r>
      <rPr>
        <b/>
        <sz val="14"/>
        <color theme="1"/>
        <rFont val="Times New Roman"/>
        <family val="1"/>
      </rPr>
      <t>highest rating value</t>
    </r>
    <r>
      <rPr>
        <sz val="14"/>
        <color theme="1"/>
        <rFont val="Times New Roman"/>
        <family val="1"/>
      </rPr>
      <t xml:space="preserve"> from the HLOOKUP result row.</t>
    </r>
  </si>
  <si>
    <t>SECTION 5 – INDEX + MATCH</t>
  </si>
  <si>
    <r>
      <t>1.</t>
    </r>
    <r>
      <rPr>
        <sz val="7"/>
        <color theme="1"/>
        <rFont val="Times New Roman"/>
        <family val="1"/>
      </rPr>
      <t xml:space="preserve">     </t>
    </r>
    <r>
      <rPr>
        <sz val="14"/>
        <color theme="1"/>
        <rFont val="Times New Roman"/>
        <family val="1"/>
      </rPr>
      <t xml:space="preserve">Retrieve the </t>
    </r>
    <r>
      <rPr>
        <b/>
        <sz val="14"/>
        <color theme="1"/>
        <rFont val="Times New Roman"/>
        <family val="1"/>
      </rPr>
      <t>IMDb Rating</t>
    </r>
    <r>
      <rPr>
        <sz val="14"/>
        <color theme="1"/>
        <rFont val="Times New Roman"/>
        <family val="1"/>
      </rPr>
      <t xml:space="preserve"> for a given series using INDEX + MATCH.</t>
    </r>
  </si>
  <si>
    <r>
      <t>2.</t>
    </r>
    <r>
      <rPr>
        <sz val="7"/>
        <color theme="1"/>
        <rFont val="Times New Roman"/>
        <family val="1"/>
      </rPr>
      <t xml:space="preserve">     </t>
    </r>
    <r>
      <rPr>
        <sz val="14"/>
        <color theme="1"/>
        <rFont val="Times New Roman"/>
        <family val="1"/>
      </rPr>
      <t xml:space="preserve">Fetch the </t>
    </r>
    <r>
      <rPr>
        <b/>
        <sz val="14"/>
        <color theme="1"/>
        <rFont val="Times New Roman"/>
        <family val="1"/>
      </rPr>
      <t>Streaming Platform</t>
    </r>
    <r>
      <rPr>
        <sz val="14"/>
        <color theme="1"/>
        <rFont val="Times New Roman"/>
        <family val="1"/>
      </rPr>
      <t xml:space="preserve"> of a selected series using INDEX + MATCH.</t>
    </r>
  </si>
  <si>
    <r>
      <t>3.</t>
    </r>
    <r>
      <rPr>
        <sz val="7"/>
        <color theme="1"/>
        <rFont val="Times New Roman"/>
        <family val="1"/>
      </rPr>
      <t xml:space="preserve">     </t>
    </r>
    <r>
      <rPr>
        <sz val="14"/>
        <color theme="1"/>
        <rFont val="Times New Roman"/>
        <family val="1"/>
      </rPr>
      <t xml:space="preserve">Return the </t>
    </r>
    <r>
      <rPr>
        <b/>
        <sz val="14"/>
        <color theme="1"/>
        <rFont val="Times New Roman"/>
        <family val="1"/>
      </rPr>
      <t>Genre</t>
    </r>
    <r>
      <rPr>
        <sz val="14"/>
        <color theme="1"/>
        <rFont val="Times New Roman"/>
        <family val="1"/>
      </rPr>
      <t xml:space="preserve"> of a series using INDEX + MATCH.</t>
    </r>
  </si>
  <si>
    <r>
      <t>4.</t>
    </r>
    <r>
      <rPr>
        <sz val="7"/>
        <color theme="1"/>
        <rFont val="Times New Roman"/>
        <family val="1"/>
      </rPr>
      <t xml:space="preserve">     </t>
    </r>
    <r>
      <rPr>
        <sz val="14"/>
        <color theme="1"/>
        <rFont val="Times New Roman"/>
        <family val="1"/>
      </rPr>
      <t xml:space="preserve">Find the </t>
    </r>
    <r>
      <rPr>
        <b/>
        <sz val="14"/>
        <color theme="1"/>
        <rFont val="Times New Roman"/>
        <family val="1"/>
      </rPr>
      <t>Year Released</t>
    </r>
    <r>
      <rPr>
        <sz val="14"/>
        <color theme="1"/>
        <rFont val="Times New Roman"/>
        <family val="1"/>
      </rPr>
      <t xml:space="preserve"> using INDEX + MATCH.</t>
    </r>
  </si>
  <si>
    <t>SECTION 6 – CONDITIONAL FORMATTING</t>
  </si>
  <si>
    <r>
      <t>1.</t>
    </r>
    <r>
      <rPr>
        <sz val="7"/>
        <color theme="1"/>
        <rFont val="Times New Roman"/>
        <family val="1"/>
      </rPr>
      <t xml:space="preserve">     </t>
    </r>
    <r>
      <rPr>
        <sz val="14"/>
        <color theme="1"/>
        <rFont val="Times New Roman"/>
        <family val="1"/>
      </rPr>
      <t xml:space="preserve">Highlight series with </t>
    </r>
    <r>
      <rPr>
        <b/>
        <sz val="14"/>
        <color theme="1"/>
        <rFont val="Times New Roman"/>
        <family val="1"/>
      </rPr>
      <t>IMDb Rating above 9</t>
    </r>
    <r>
      <rPr>
        <sz val="14"/>
        <color theme="1"/>
        <rFont val="Times New Roman"/>
        <family val="1"/>
      </rPr>
      <t>.</t>
    </r>
  </si>
  <si>
    <r>
      <t>2.</t>
    </r>
    <r>
      <rPr>
        <sz val="7"/>
        <color theme="1"/>
        <rFont val="Times New Roman"/>
        <family val="1"/>
      </rPr>
      <t xml:space="preserve">     </t>
    </r>
    <r>
      <rPr>
        <sz val="14"/>
        <color theme="1"/>
        <rFont val="Times New Roman"/>
        <family val="1"/>
      </rPr>
      <t xml:space="preserve">Highlight series released </t>
    </r>
    <r>
      <rPr>
        <b/>
        <sz val="14"/>
        <color theme="1"/>
        <rFont val="Times New Roman"/>
        <family val="1"/>
      </rPr>
      <t>before 2010</t>
    </r>
    <r>
      <rPr>
        <sz val="14"/>
        <color theme="1"/>
        <rFont val="Times New Roman"/>
        <family val="1"/>
      </rPr>
      <t>.</t>
    </r>
  </si>
  <si>
    <r>
      <t>3.</t>
    </r>
    <r>
      <rPr>
        <sz val="7"/>
        <color theme="1"/>
        <rFont val="Times New Roman"/>
        <family val="1"/>
      </rPr>
      <t xml:space="preserve">     </t>
    </r>
    <r>
      <rPr>
        <sz val="14"/>
        <color theme="1"/>
        <rFont val="Times New Roman"/>
        <family val="1"/>
      </rPr>
      <t xml:space="preserve">Apply </t>
    </r>
    <r>
      <rPr>
        <b/>
        <sz val="14"/>
        <color theme="1"/>
        <rFont val="Times New Roman"/>
        <family val="1"/>
      </rPr>
      <t>data bars</t>
    </r>
    <r>
      <rPr>
        <sz val="14"/>
        <color theme="1"/>
        <rFont val="Times New Roman"/>
        <family val="1"/>
      </rPr>
      <t xml:space="preserve"> to the IMDb Rating column.</t>
    </r>
  </si>
  <si>
    <r>
      <t>4.</t>
    </r>
    <r>
      <rPr>
        <sz val="7"/>
        <color theme="1"/>
        <rFont val="Times New Roman"/>
        <family val="1"/>
      </rPr>
      <t xml:space="preserve">     </t>
    </r>
    <r>
      <rPr>
        <sz val="14"/>
        <color theme="1"/>
        <rFont val="Times New Roman"/>
        <family val="1"/>
      </rPr>
      <t xml:space="preserve">Highlight series with </t>
    </r>
    <r>
      <rPr>
        <b/>
        <sz val="14"/>
        <color theme="1"/>
        <rFont val="Times New Roman"/>
        <family val="1"/>
      </rPr>
      <t>more than 4 seasons</t>
    </r>
    <r>
      <rPr>
        <sz val="14"/>
        <color theme="1"/>
        <rFont val="Times New Roman"/>
        <family val="1"/>
      </rPr>
      <t>.</t>
    </r>
  </si>
  <si>
    <r>
      <t>5.</t>
    </r>
    <r>
      <rPr>
        <sz val="7"/>
        <color theme="1"/>
        <rFont val="Times New Roman"/>
        <family val="1"/>
      </rPr>
      <t xml:space="preserve">     </t>
    </r>
    <r>
      <rPr>
        <sz val="14"/>
        <color theme="1"/>
        <rFont val="Times New Roman"/>
        <family val="1"/>
      </rPr>
      <t xml:space="preserve">Highlight duplicate </t>
    </r>
    <r>
      <rPr>
        <b/>
        <sz val="14"/>
        <color theme="1"/>
        <rFont val="Times New Roman"/>
        <family val="1"/>
      </rPr>
      <t>Series Titles</t>
    </r>
    <r>
      <rPr>
        <sz val="14"/>
        <color theme="1"/>
        <rFont val="Times New Roman"/>
        <family val="1"/>
      </rPr>
      <t>.</t>
    </r>
  </si>
  <si>
    <r>
      <t>6.</t>
    </r>
    <r>
      <rPr>
        <sz val="7"/>
        <color theme="1"/>
        <rFont val="Times New Roman"/>
        <family val="1"/>
      </rPr>
      <t xml:space="preserve">     </t>
    </r>
    <r>
      <rPr>
        <sz val="14"/>
        <color theme="1"/>
        <rFont val="Times New Roman"/>
        <family val="1"/>
      </rPr>
      <t xml:space="preserve">Apply </t>
    </r>
    <r>
      <rPr>
        <b/>
        <sz val="14"/>
        <color theme="1"/>
        <rFont val="Times New Roman"/>
        <family val="1"/>
      </rPr>
      <t>color scale</t>
    </r>
    <r>
      <rPr>
        <sz val="14"/>
        <color theme="1"/>
        <rFont val="Times New Roman"/>
        <family val="1"/>
      </rPr>
      <t xml:space="preserve"> to the Number of Seasons column.</t>
    </r>
  </si>
  <si>
    <t>SECTION 7 – SORTING &amp; FILTERING</t>
  </si>
  <si>
    <r>
      <t>1.</t>
    </r>
    <r>
      <rPr>
        <sz val="7"/>
        <color theme="1"/>
        <rFont val="Times New Roman"/>
        <family val="1"/>
      </rPr>
      <t xml:space="preserve">     </t>
    </r>
    <r>
      <rPr>
        <sz val="14"/>
        <color theme="1"/>
        <rFont val="Times New Roman"/>
        <family val="1"/>
      </rPr>
      <t xml:space="preserve">Filter the dataset to show only </t>
    </r>
    <r>
      <rPr>
        <b/>
        <sz val="14"/>
        <color theme="1"/>
        <rFont val="Times New Roman"/>
        <family val="1"/>
      </rPr>
      <t>Netflix series</t>
    </r>
    <r>
      <rPr>
        <sz val="14"/>
        <color theme="1"/>
        <rFont val="Times New Roman"/>
        <family val="1"/>
      </rPr>
      <t>.</t>
    </r>
  </si>
  <si>
    <r>
      <t>2.</t>
    </r>
    <r>
      <rPr>
        <sz val="7"/>
        <color theme="1"/>
        <rFont val="Times New Roman"/>
        <family val="1"/>
      </rPr>
      <t xml:space="preserve">     </t>
    </r>
    <r>
      <rPr>
        <sz val="14"/>
        <color theme="1"/>
        <rFont val="Times New Roman"/>
        <family val="1"/>
      </rPr>
      <t xml:space="preserve">Show only series with </t>
    </r>
    <r>
      <rPr>
        <b/>
        <sz val="14"/>
        <color theme="1"/>
        <rFont val="Times New Roman"/>
        <family val="1"/>
      </rPr>
      <t>IMDb Rating above 8.5</t>
    </r>
    <r>
      <rPr>
        <sz val="14"/>
        <color theme="1"/>
        <rFont val="Times New Roman"/>
        <family val="1"/>
      </rPr>
      <t>.</t>
    </r>
  </si>
  <si>
    <r>
      <t>3.</t>
    </r>
    <r>
      <rPr>
        <sz val="7"/>
        <color theme="1"/>
        <rFont val="Times New Roman"/>
        <family val="1"/>
      </rPr>
      <t xml:space="preserve">     </t>
    </r>
    <r>
      <rPr>
        <sz val="14"/>
        <color theme="1"/>
        <rFont val="Times New Roman"/>
        <family val="1"/>
      </rPr>
      <t xml:space="preserve">Sort the dataset by </t>
    </r>
    <r>
      <rPr>
        <b/>
        <sz val="14"/>
        <color theme="1"/>
        <rFont val="Times New Roman"/>
        <family val="1"/>
      </rPr>
      <t>IMDb Rating (Highest to Lowest)</t>
    </r>
    <r>
      <rPr>
        <sz val="14"/>
        <color theme="1"/>
        <rFont val="Times New Roman"/>
        <family val="1"/>
      </rPr>
      <t>.</t>
    </r>
  </si>
  <si>
    <r>
      <t>4.</t>
    </r>
    <r>
      <rPr>
        <sz val="7"/>
        <color theme="1"/>
        <rFont val="Times New Roman"/>
        <family val="1"/>
      </rPr>
      <t xml:space="preserve">     </t>
    </r>
    <r>
      <rPr>
        <sz val="14"/>
        <color theme="1"/>
        <rFont val="Times New Roman"/>
        <family val="1"/>
      </rPr>
      <t xml:space="preserve">Filter series that belong to </t>
    </r>
    <r>
      <rPr>
        <b/>
        <sz val="14"/>
        <color theme="1"/>
        <rFont val="Times New Roman"/>
        <family val="1"/>
      </rPr>
      <t>Drama genre</t>
    </r>
    <r>
      <rPr>
        <sz val="14"/>
        <color theme="1"/>
        <rFont val="Times New Roman"/>
        <family val="1"/>
      </rPr>
      <t>.</t>
    </r>
  </si>
  <si>
    <r>
      <t>5.</t>
    </r>
    <r>
      <rPr>
        <sz val="7"/>
        <color theme="1"/>
        <rFont val="Times New Roman"/>
        <family val="1"/>
      </rPr>
      <t xml:space="preserve">     </t>
    </r>
    <r>
      <rPr>
        <sz val="14"/>
        <color theme="1"/>
        <rFont val="Times New Roman"/>
        <family val="1"/>
      </rPr>
      <t xml:space="preserve">Display series released </t>
    </r>
    <r>
      <rPr>
        <b/>
        <sz val="14"/>
        <color theme="1"/>
        <rFont val="Times New Roman"/>
        <family val="1"/>
      </rPr>
      <t>between 2010 and 2020</t>
    </r>
    <r>
      <rPr>
        <sz val="14"/>
        <color theme="1"/>
        <rFont val="Times New Roman"/>
        <family val="1"/>
      </rPr>
      <t>.</t>
    </r>
  </si>
  <si>
    <t>SECTION 8 – PIVOT TABLE &amp; PIVOT CHART</t>
  </si>
  <si>
    <r>
      <t>1.</t>
    </r>
    <r>
      <rPr>
        <sz val="7"/>
        <color theme="1"/>
        <rFont val="Times New Roman"/>
        <family val="1"/>
      </rPr>
      <t xml:space="preserve">     </t>
    </r>
    <r>
      <rPr>
        <sz val="14"/>
        <color theme="1"/>
        <rFont val="Times New Roman"/>
        <family val="1"/>
      </rPr>
      <t xml:space="preserve">Create a </t>
    </r>
    <r>
      <rPr>
        <b/>
        <sz val="14"/>
        <color theme="1"/>
        <rFont val="Times New Roman"/>
        <family val="1"/>
      </rPr>
      <t>Pivot Table</t>
    </r>
    <r>
      <rPr>
        <sz val="14"/>
        <color theme="1"/>
        <rFont val="Times New Roman"/>
        <family val="1"/>
      </rPr>
      <t xml:space="preserve"> showing </t>
    </r>
    <r>
      <rPr>
        <b/>
        <sz val="14"/>
        <color theme="1"/>
        <rFont val="Times New Roman"/>
        <family val="1"/>
      </rPr>
      <t>Streaming Platform-wise count of series</t>
    </r>
    <r>
      <rPr>
        <sz val="14"/>
        <color theme="1"/>
        <rFont val="Times New Roman"/>
        <family val="1"/>
      </rPr>
      <t>.</t>
    </r>
  </si>
  <si>
    <r>
      <t>2.</t>
    </r>
    <r>
      <rPr>
        <sz val="7"/>
        <color theme="1"/>
        <rFont val="Times New Roman"/>
        <family val="1"/>
      </rPr>
      <t xml:space="preserve">     </t>
    </r>
    <r>
      <rPr>
        <sz val="14"/>
        <color theme="1"/>
        <rFont val="Times New Roman"/>
        <family val="1"/>
      </rPr>
      <t xml:space="preserve">Create a Pivot Table showing </t>
    </r>
    <r>
      <rPr>
        <b/>
        <sz val="14"/>
        <color theme="1"/>
        <rFont val="Times New Roman"/>
        <family val="1"/>
      </rPr>
      <t>average IMDb Rating per Genre</t>
    </r>
    <r>
      <rPr>
        <sz val="14"/>
        <color theme="1"/>
        <rFont val="Times New Roman"/>
        <family val="1"/>
      </rPr>
      <t>.</t>
    </r>
  </si>
  <si>
    <r>
      <t>3.</t>
    </r>
    <r>
      <rPr>
        <sz val="7"/>
        <color theme="1"/>
        <rFont val="Times New Roman"/>
        <family val="1"/>
      </rPr>
      <t xml:space="preserve">     </t>
    </r>
    <r>
      <rPr>
        <sz val="14"/>
        <color theme="1"/>
        <rFont val="Times New Roman"/>
        <family val="1"/>
      </rPr>
      <t xml:space="preserve">Create a Pivot Table showing </t>
    </r>
    <r>
      <rPr>
        <b/>
        <sz val="14"/>
        <color theme="1"/>
        <rFont val="Times New Roman"/>
        <family val="1"/>
      </rPr>
      <t>Content Rating-wise number of series</t>
    </r>
    <r>
      <rPr>
        <sz val="14"/>
        <color theme="1"/>
        <rFont val="Times New Roman"/>
        <family val="1"/>
      </rPr>
      <t>.</t>
    </r>
  </si>
  <si>
    <r>
      <t xml:space="preserve">1. Count the number of series with </t>
    </r>
    <r>
      <rPr>
        <b/>
        <sz val="14"/>
        <color theme="1"/>
        <rFont val="Times New Roman"/>
        <family val="1"/>
      </rPr>
      <t>IMDb Rating greater than 9</t>
    </r>
    <r>
      <rPr>
        <sz val="14"/>
        <color theme="1"/>
        <rFont val="Times New Roman"/>
        <family val="1"/>
      </rPr>
      <t>.</t>
    </r>
  </si>
  <si>
    <r>
      <t xml:space="preserve">2. Count how many series belong to the </t>
    </r>
    <r>
      <rPr>
        <b/>
        <sz val="14"/>
        <color theme="1"/>
        <rFont val="Times New Roman"/>
        <family val="1"/>
      </rPr>
      <t>Comedy genre</t>
    </r>
    <r>
      <rPr>
        <sz val="14"/>
        <color theme="1"/>
        <rFont val="Times New Roman"/>
        <family val="1"/>
      </rPr>
      <t>.</t>
    </r>
  </si>
  <si>
    <r>
      <t xml:space="preserve">3. Calculate the </t>
    </r>
    <r>
      <rPr>
        <b/>
        <sz val="14"/>
        <color theme="1"/>
        <rFont val="Times New Roman"/>
        <family val="1"/>
      </rPr>
      <t>average IMDb Rating</t>
    </r>
    <r>
      <rPr>
        <sz val="14"/>
        <color theme="1"/>
        <rFont val="Times New Roman"/>
        <family val="1"/>
      </rPr>
      <t xml:space="preserve"> for series with </t>
    </r>
    <r>
      <rPr>
        <b/>
        <sz val="14"/>
        <color theme="1"/>
        <rFont val="Times New Roman"/>
        <family val="1"/>
      </rPr>
      <t>Content Rating = 18+</t>
    </r>
    <r>
      <rPr>
        <sz val="14"/>
        <color theme="1"/>
        <rFont val="Times New Roman"/>
        <family val="1"/>
      </rPr>
      <t>.</t>
    </r>
  </si>
  <si>
    <r>
      <t xml:space="preserve">4. Count the number of series released </t>
    </r>
    <r>
      <rPr>
        <b/>
        <sz val="14"/>
        <color theme="1"/>
        <rFont val="Times New Roman"/>
        <family val="1"/>
      </rPr>
      <t>before 2010</t>
    </r>
    <r>
      <rPr>
        <sz val="14"/>
        <color theme="1"/>
        <rFont val="Times New Roman"/>
        <family val="1"/>
      </rPr>
      <t>.</t>
    </r>
  </si>
  <si>
    <r>
      <t xml:space="preserve">5. Find the </t>
    </r>
    <r>
      <rPr>
        <b/>
        <sz val="14"/>
        <color theme="1"/>
        <rFont val="Times New Roman"/>
        <family val="1"/>
      </rPr>
      <t>total number of seasons</t>
    </r>
    <r>
      <rPr>
        <sz val="14"/>
        <color theme="1"/>
        <rFont val="Times New Roman"/>
        <family val="1"/>
      </rPr>
      <t xml:space="preserve"> for series streamed on </t>
    </r>
    <r>
      <rPr>
        <b/>
        <sz val="14"/>
        <color theme="1"/>
        <rFont val="Times New Roman"/>
        <family val="1"/>
      </rPr>
      <t>Netflix</t>
    </r>
    <r>
      <rPr>
        <sz val="14"/>
        <color theme="1"/>
        <rFont val="Times New Roman"/>
        <family val="1"/>
      </rPr>
      <t>.</t>
    </r>
  </si>
  <si>
    <r>
      <t xml:space="preserve">6. Count how many series are available on </t>
    </r>
    <r>
      <rPr>
        <b/>
        <sz val="14"/>
        <color theme="1"/>
        <rFont val="Times New Roman"/>
        <family val="1"/>
      </rPr>
      <t>more than one streaming platform</t>
    </r>
    <r>
      <rPr>
        <sz val="14"/>
        <color theme="1"/>
        <rFont val="Times New Roman"/>
        <family val="1"/>
      </rPr>
      <t>.</t>
    </r>
  </si>
  <si>
    <r>
      <t xml:space="preserve">7. Calculate average IMDb Rating for </t>
    </r>
    <r>
      <rPr>
        <b/>
        <sz val="14"/>
        <color theme="1"/>
        <rFont val="Times New Roman"/>
        <family val="1"/>
      </rPr>
      <t>Action &amp; Adventure</t>
    </r>
    <r>
      <rPr>
        <sz val="14"/>
        <color theme="1"/>
        <rFont val="Times New Roman"/>
        <family val="1"/>
      </rPr>
      <t xml:space="preserve"> series.</t>
    </r>
  </si>
  <si>
    <r>
      <t xml:space="preserve">1. Use </t>
    </r>
    <r>
      <rPr>
        <b/>
        <sz val="14"/>
        <color theme="1"/>
        <rFont val="Times New Roman"/>
        <family val="1"/>
      </rPr>
      <t>VLOOKUP</t>
    </r>
    <r>
      <rPr>
        <sz val="14"/>
        <color theme="1"/>
        <rFont val="Times New Roman"/>
        <family val="1"/>
      </rPr>
      <t xml:space="preserve"> to return the </t>
    </r>
    <r>
      <rPr>
        <b/>
        <sz val="14"/>
        <color theme="1"/>
        <rFont val="Times New Roman"/>
        <family val="1"/>
      </rPr>
      <t>IMDb Rating</t>
    </r>
    <r>
      <rPr>
        <sz val="14"/>
        <color theme="1"/>
        <rFont val="Times New Roman"/>
        <family val="1"/>
      </rPr>
      <t xml:space="preserve"> of a given series.</t>
    </r>
  </si>
  <si>
    <r>
      <t>3.</t>
    </r>
    <r>
      <rPr>
        <sz val="7"/>
        <color theme="1"/>
        <rFont val="Times New Roman"/>
        <family val="1"/>
      </rPr>
      <t xml:space="preserve">     </t>
    </r>
    <r>
      <rPr>
        <sz val="14"/>
        <color theme="1"/>
        <rFont val="Times New Roman"/>
        <family val="1"/>
      </rPr>
      <t xml:space="preserve">Find the </t>
    </r>
    <r>
      <rPr>
        <b/>
        <sz val="14"/>
        <color theme="1"/>
        <rFont val="Times New Roman"/>
        <family val="1"/>
      </rPr>
      <t>Content Rating</t>
    </r>
    <r>
      <rPr>
        <sz val="14"/>
        <color theme="1"/>
        <rFont val="Times New Roman"/>
        <family val="1"/>
      </rPr>
      <t xml:space="preserve"> of a series using VLOOKUP.</t>
    </r>
  </si>
  <si>
    <r>
      <t>4.</t>
    </r>
    <r>
      <rPr>
        <sz val="7"/>
        <color theme="1"/>
        <rFont val="Times New Roman"/>
        <family val="1"/>
      </rPr>
      <t xml:space="preserve">     </t>
    </r>
    <r>
      <rPr>
        <sz val="14"/>
        <color theme="1"/>
        <rFont val="Times New Roman"/>
        <family val="1"/>
      </rPr>
      <t xml:space="preserve">Return the </t>
    </r>
    <r>
      <rPr>
        <b/>
        <sz val="14"/>
        <color theme="1"/>
        <rFont val="Times New Roman"/>
        <family val="1"/>
      </rPr>
      <t>Genre</t>
    </r>
    <r>
      <rPr>
        <sz val="14"/>
        <color theme="1"/>
        <rFont val="Times New Roman"/>
        <family val="1"/>
      </rPr>
      <t xml:space="preserve"> of a given series using VLOOKUP.</t>
    </r>
  </si>
  <si>
    <r>
      <t>5.</t>
    </r>
    <r>
      <rPr>
        <sz val="7"/>
        <color theme="1"/>
        <rFont val="Times New Roman"/>
        <family val="1"/>
      </rPr>
      <t xml:space="preserve">     </t>
    </r>
    <r>
      <rPr>
        <sz val="14"/>
        <color theme="1"/>
        <rFont val="Times New Roman"/>
        <family val="1"/>
      </rPr>
      <t xml:space="preserve">Fetch the </t>
    </r>
    <r>
      <rPr>
        <b/>
        <sz val="14"/>
        <color theme="1"/>
        <rFont val="Times New Roman"/>
        <family val="1"/>
      </rPr>
      <t>Streaming Platform</t>
    </r>
    <r>
      <rPr>
        <sz val="14"/>
        <color theme="1"/>
        <rFont val="Times New Roman"/>
        <family val="1"/>
      </rPr>
      <t xml:space="preserve"> of a selected series using VLOOKUP.</t>
    </r>
  </si>
  <si>
    <r>
      <t>6.</t>
    </r>
    <r>
      <rPr>
        <sz val="7"/>
        <color theme="1"/>
        <rFont val="Times New Roman"/>
        <family val="1"/>
      </rPr>
      <t xml:space="preserve">     </t>
    </r>
    <r>
      <rPr>
        <sz val="14"/>
        <color theme="1"/>
        <rFont val="Times New Roman"/>
        <family val="1"/>
      </rPr>
      <t xml:space="preserve">Retrieve the </t>
    </r>
    <r>
      <rPr>
        <b/>
        <sz val="14"/>
        <color theme="1"/>
        <rFont val="Times New Roman"/>
        <family val="1"/>
      </rPr>
      <t>Number of Seasons</t>
    </r>
    <r>
      <rPr>
        <sz val="14"/>
        <color theme="1"/>
        <rFont val="Times New Roman"/>
        <family val="1"/>
      </rPr>
      <t xml:space="preserve"> using VLOOKUP.</t>
    </r>
  </si>
  <si>
    <t>Answer 1.</t>
  </si>
  <si>
    <t>Answer 2.</t>
  </si>
  <si>
    <t>Number of Seasons</t>
  </si>
  <si>
    <t>Answer 3.</t>
  </si>
  <si>
    <t>Answer 4.</t>
  </si>
  <si>
    <t>Answer 5.</t>
  </si>
  <si>
    <t>Answer 6.</t>
  </si>
  <si>
    <r>
      <t xml:space="preserve">2. Retrieve the </t>
    </r>
    <r>
      <rPr>
        <b/>
        <sz val="14"/>
        <color theme="1"/>
        <rFont val="Times New Roman"/>
        <family val="1"/>
      </rPr>
      <t>Year Released</t>
    </r>
    <r>
      <rPr>
        <sz val="14"/>
        <color theme="1"/>
        <rFont val="Times New Roman"/>
        <family val="1"/>
      </rPr>
      <t xml:space="preserve"> for a selected series using VLOOKUP.</t>
    </r>
  </si>
  <si>
    <r>
      <t xml:space="preserve">5. Fetch the </t>
    </r>
    <r>
      <rPr>
        <b/>
        <sz val="14"/>
        <color theme="1"/>
        <rFont val="Times New Roman"/>
        <family val="1"/>
      </rPr>
      <t>Number of Seasons</t>
    </r>
    <r>
      <rPr>
        <sz val="14"/>
        <color theme="1"/>
        <rFont val="Times New Roman"/>
        <family val="1"/>
      </rPr>
      <t xml:space="preserve"> using INDEX + MATCH.</t>
    </r>
  </si>
  <si>
    <r>
      <t>6.</t>
    </r>
    <r>
      <rPr>
        <sz val="7"/>
        <color theme="1"/>
        <rFont val="Times New Roman"/>
        <family val="1"/>
      </rPr>
      <t xml:space="preserve">     </t>
    </r>
    <r>
      <rPr>
        <sz val="14"/>
        <color theme="1"/>
        <rFont val="Times New Roman"/>
        <family val="1"/>
      </rPr>
      <t xml:space="preserve">Retrieve the </t>
    </r>
    <r>
      <rPr>
        <b/>
        <sz val="14"/>
        <color theme="1"/>
        <rFont val="Times New Roman"/>
        <family val="1"/>
      </rPr>
      <t>Content Rating</t>
    </r>
    <r>
      <rPr>
        <sz val="14"/>
        <color theme="1"/>
        <rFont val="Times New Roman"/>
        <family val="1"/>
      </rPr>
      <t xml:space="preserve"> using INDEX + MATCH.</t>
    </r>
  </si>
  <si>
    <t>7Season</t>
  </si>
  <si>
    <t>20Season</t>
  </si>
  <si>
    <t>&gt; 8.5</t>
  </si>
  <si>
    <t>Drama</t>
  </si>
  <si>
    <t>&gt;=2010</t>
  </si>
  <si>
    <t>&lt;=2020</t>
  </si>
  <si>
    <t>Row Labels</t>
  </si>
  <si>
    <t>Grand Total</t>
  </si>
  <si>
    <t>Sum of IMDB Rating</t>
  </si>
  <si>
    <t>Count of Series Title</t>
  </si>
  <si>
    <t>others</t>
  </si>
  <si>
    <t>Count of IMDB Rating</t>
  </si>
  <si>
    <t>Horror</t>
  </si>
  <si>
    <t>Action &amp; Adventure</t>
  </si>
  <si>
    <t>Animation</t>
  </si>
  <si>
    <t>Comedy</t>
  </si>
  <si>
    <t>Others</t>
  </si>
  <si>
    <t>Average of IMDB Rating2</t>
  </si>
  <si>
    <r>
      <t>4.</t>
    </r>
    <r>
      <rPr>
        <sz val="7"/>
        <color theme="1"/>
        <rFont val="Times New Roman"/>
        <family val="1"/>
      </rPr>
      <t xml:space="preserve">     </t>
    </r>
    <r>
      <rPr>
        <sz val="14"/>
        <color theme="1"/>
        <rFont val="Times New Roman"/>
        <family val="1"/>
      </rPr>
      <t xml:space="preserve">Insert a Pivot Chart showing </t>
    </r>
    <r>
      <rPr>
        <b/>
        <sz val="14"/>
        <color theme="1"/>
        <rFont val="Times New Roman"/>
        <family val="1"/>
      </rPr>
      <t>Genre-wise IMDb Ratings</t>
    </r>
    <r>
      <rPr>
        <sz val="14"/>
        <color theme="1"/>
        <rFont val="Times New Roman"/>
        <family val="1"/>
      </rPr>
      <t>.</t>
    </r>
  </si>
  <si>
    <t>Distribution of Content Rating Across All Series</t>
  </si>
  <si>
    <r>
      <t xml:space="preserve">5. Create a Pivot Chart showing </t>
    </r>
    <r>
      <rPr>
        <b/>
        <sz val="14"/>
        <color theme="1"/>
        <rFont val="Times New Roman"/>
        <family val="1"/>
      </rPr>
      <t>Top 10 highest rated Netflix series based on IMDb Rating.</t>
    </r>
  </si>
  <si>
    <t>6. Distribution of Content Rating Across All Series</t>
  </si>
  <si>
    <t>7. Number of Series Released Each Year</t>
  </si>
  <si>
    <t>5. Create a Pivot Chart showing Top 10 highest rated Netflix series based on IMDb Rating.</t>
  </si>
  <si>
    <t>Global Streaming Series Analysis</t>
  </si>
  <si>
    <r>
      <t xml:space="preserve">1.     Create a </t>
    </r>
    <r>
      <rPr>
        <b/>
        <sz val="12"/>
        <color theme="1"/>
        <rFont val="Times New Roman"/>
        <family val="1"/>
      </rPr>
      <t>Pivot Table</t>
    </r>
    <r>
      <rPr>
        <sz val="12"/>
        <color theme="1"/>
        <rFont val="Times New Roman"/>
        <family val="1"/>
      </rPr>
      <t xml:space="preserve"> showing </t>
    </r>
    <r>
      <rPr>
        <b/>
        <sz val="12"/>
        <color theme="1"/>
        <rFont val="Times New Roman"/>
        <family val="1"/>
      </rPr>
      <t>Streaming Platform-wise count of series</t>
    </r>
    <r>
      <rPr>
        <sz val="12"/>
        <color theme="1"/>
        <rFont val="Times New Roman"/>
        <family val="1"/>
      </rPr>
      <t>.</t>
    </r>
  </si>
  <si>
    <r>
      <t xml:space="preserve">2.     Create a Pivot Table showing </t>
    </r>
    <r>
      <rPr>
        <b/>
        <sz val="12"/>
        <color theme="1"/>
        <rFont val="Times New Roman"/>
        <family val="1"/>
      </rPr>
      <t>average IMDb Rating per Genre</t>
    </r>
    <r>
      <rPr>
        <sz val="12"/>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</si>
</sst>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Times New Roman"/>
      <family val="1"/>
    </font>
    <font>
      <sz val="14"/>
      <color theme="1"/>
      <name val="Times New Roman"/>
      <family val="1"/>
    </font>
    <font>
      <sz val="7"/>
      <color theme="1"/>
      <name val="Times New Roman"/>
      <family val="1"/>
    </font>
    <font>
      <b/>
      <sz val="14"/>
      <color theme="1"/>
      <name val="Times New Roman"/>
      <family val="1"/>
    </font>
    <font>
      <b/>
      <sz val="18"/>
      <color theme="0"/>
      <name val="Times New Roman"/>
      <family val="1"/>
    </font>
    <font>
      <sz val="12"/>
      <color theme="1"/>
      <name val="Calibri"/>
      <family val="2"/>
      <scheme val="minor"/>
    </font>
    <font>
      <b/>
      <sz val="14"/>
      <color theme="0"/>
      <name val="Times New Roman"/>
      <family val="1"/>
    </font>
    <font>
      <b/>
      <sz val="16"/>
      <color theme="1"/>
      <name val="Times New Roman"/>
      <family val="1"/>
    </font>
    <font>
      <sz val="8"/>
      <name val="Calibri"/>
      <family val="2"/>
      <scheme val="minor"/>
    </font>
    <font>
      <b/>
      <sz val="18"/>
      <color theme="1"/>
      <name val="Book Antiqua"/>
      <family val="1"/>
    </font>
    <font>
      <sz val="12"/>
      <color theme="1"/>
      <name val="Times New Roman"/>
      <family val="1"/>
    </font>
    <font>
      <b/>
      <sz val="12"/>
      <color theme="1"/>
      <name val="Times New Roman"/>
      <family val="1"/>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theme="4" tint="0.79998168889431442"/>
      </patternFill>
    </fill>
    <fill>
      <patternFill patternType="solid">
        <fgColor theme="5" tint="0.59999389629810485"/>
        <bgColor indexed="64"/>
      </patternFill>
    </fill>
    <fill>
      <patternFill patternType="solid">
        <fgColor theme="4" tint="-0.499984740745262"/>
        <bgColor theme="4"/>
      </patternFill>
    </fill>
    <fill>
      <patternFill patternType="solid">
        <fgColor theme="2"/>
        <bgColor indexed="64"/>
      </patternFill>
    </fill>
    <fill>
      <patternFill patternType="solid">
        <fgColor theme="4" tint="0.39997558519241921"/>
        <bgColor theme="4" tint="0.79998168889431442"/>
      </patternFill>
    </fill>
    <fill>
      <patternFill patternType="solid">
        <fgColor theme="4" tint="0.39997558519241921"/>
        <bgColor indexed="64"/>
      </patternFill>
    </fill>
    <fill>
      <patternFill patternType="solid">
        <fgColor theme="7" tint="0.59999389629810485"/>
        <bgColor indexed="64"/>
      </patternFill>
    </fill>
    <fill>
      <patternFill patternType="solid">
        <fgColor theme="7" tint="0.59999389629810485"/>
        <bgColor theme="4" tint="0.79998168889431442"/>
      </patternFill>
    </fill>
    <fill>
      <patternFill patternType="solid">
        <fgColor theme="9" tint="-0.249977111117893"/>
        <bgColor indexed="64"/>
      </patternFill>
    </fill>
    <fill>
      <patternFill patternType="solid">
        <fgColor rgb="FF002060"/>
        <bgColor theme="4"/>
      </patternFill>
    </fill>
    <fill>
      <patternFill patternType="solid">
        <fgColor theme="7" tint="0.39997558519241921"/>
        <bgColor theme="4" tint="0.79998168889431442"/>
      </patternFill>
    </fill>
    <fill>
      <patternFill patternType="solid">
        <fgColor rgb="FFFFC0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theme="4" tint="0.39997558519241921"/>
      </bottom>
      <diagonal/>
    </border>
    <border>
      <left/>
      <right/>
      <top/>
      <bottom style="thin">
        <color theme="4" tint="0.39997558519241921"/>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ont="1" applyFill="1" applyBorder="1" applyAlignment="1">
      <alignment horizontal="center"/>
    </xf>
    <xf numFmtId="0" fontId="0" fillId="34" borderId="11" xfId="0" applyFont="1" applyFill="1" applyBorder="1" applyAlignment="1">
      <alignment horizontal="center"/>
    </xf>
    <xf numFmtId="0" fontId="0" fillId="34" borderId="12" xfId="0" applyFont="1" applyFill="1" applyBorder="1" applyAlignment="1">
      <alignment horizontal="center"/>
    </xf>
    <xf numFmtId="0" fontId="0" fillId="0" borderId="10" xfId="0" applyFont="1" applyBorder="1" applyAlignment="1">
      <alignment horizontal="center"/>
    </xf>
    <xf numFmtId="0" fontId="0" fillId="0" borderId="11" xfId="0" applyFont="1" applyBorder="1" applyAlignment="1">
      <alignment horizontal="center"/>
    </xf>
    <xf numFmtId="0" fontId="0" fillId="0" borderId="12" xfId="0" applyFont="1" applyBorder="1" applyAlignment="1">
      <alignment horizontal="center"/>
    </xf>
    <xf numFmtId="14" fontId="0" fillId="0" borderId="10" xfId="0" applyNumberFormat="1" applyFont="1" applyBorder="1" applyAlignment="1">
      <alignment horizontal="center"/>
    </xf>
    <xf numFmtId="0" fontId="0" fillId="0" borderId="0" xfId="0" applyAlignment="1">
      <alignment vertical="center"/>
    </xf>
    <xf numFmtId="0" fontId="18" fillId="35" borderId="13" xfId="0" applyFont="1" applyFill="1" applyBorder="1" applyAlignment="1">
      <alignment vertical="center"/>
    </xf>
    <xf numFmtId="0" fontId="19" fillId="36" borderId="14" xfId="0" applyFont="1" applyFill="1" applyBorder="1" applyAlignment="1">
      <alignment vertical="center"/>
    </xf>
    <xf numFmtId="0" fontId="22" fillId="37" borderId="13" xfId="0" applyFont="1" applyFill="1" applyBorder="1" applyAlignment="1">
      <alignment vertical="center"/>
    </xf>
    <xf numFmtId="0" fontId="23" fillId="38" borderId="14" xfId="0" applyFont="1" applyFill="1" applyBorder="1" applyAlignment="1">
      <alignment horizontal="center"/>
    </xf>
    <xf numFmtId="2" fontId="23" fillId="38" borderId="14" xfId="0" applyNumberFormat="1" applyFont="1" applyFill="1" applyBorder="1" applyAlignment="1">
      <alignment horizontal="center"/>
    </xf>
    <xf numFmtId="0" fontId="23" fillId="38" borderId="14" xfId="0" applyFont="1" applyFill="1" applyBorder="1" applyAlignment="1">
      <alignment horizontal="center" vertical="center"/>
    </xf>
    <xf numFmtId="2" fontId="23" fillId="38" borderId="14" xfId="0" applyNumberFormat="1" applyFont="1" applyFill="1" applyBorder="1" applyAlignment="1">
      <alignment horizontal="center" vertical="center"/>
    </xf>
    <xf numFmtId="1" fontId="23" fillId="38" borderId="14" xfId="0" applyNumberFormat="1" applyFont="1" applyFill="1" applyBorder="1" applyAlignment="1">
      <alignment horizontal="center" vertical="center"/>
    </xf>
    <xf numFmtId="0" fontId="24" fillId="37" borderId="15" xfId="0" applyFont="1" applyFill="1" applyBorder="1" applyAlignment="1">
      <alignment horizontal="center" vertical="center"/>
    </xf>
    <xf numFmtId="0" fontId="0" fillId="39" borderId="14" xfId="0" applyFont="1" applyFill="1" applyBorder="1" applyAlignment="1">
      <alignment horizontal="center"/>
    </xf>
    <xf numFmtId="0" fontId="0" fillId="40" borderId="14" xfId="0" applyFont="1" applyFill="1" applyBorder="1" applyAlignment="1">
      <alignment horizontal="center"/>
    </xf>
    <xf numFmtId="0" fontId="13" fillId="41" borderId="14" xfId="0" applyFont="1" applyFill="1" applyBorder="1"/>
    <xf numFmtId="0" fontId="0" fillId="42" borderId="14" xfId="0" applyFill="1" applyBorder="1"/>
    <xf numFmtId="0" fontId="0" fillId="42" borderId="14" xfId="0" applyFill="1" applyBorder="1" applyAlignment="1">
      <alignment horizontal="right"/>
    </xf>
    <xf numFmtId="0" fontId="16" fillId="43" borderId="14" xfId="0" applyFont="1" applyFill="1" applyBorder="1" applyAlignment="1">
      <alignment horizontal="center"/>
    </xf>
    <xf numFmtId="0" fontId="16" fillId="44" borderId="14" xfId="0" applyFont="1" applyFill="1" applyBorder="1" applyAlignment="1">
      <alignment horizontal="center"/>
    </xf>
    <xf numFmtId="0" fontId="0" fillId="45" borderId="14" xfId="0" applyFont="1" applyFill="1" applyBorder="1" applyAlignment="1">
      <alignment horizontal="center"/>
    </xf>
    <xf numFmtId="0" fontId="0" fillId="46" borderId="14" xfId="0" applyFont="1" applyFill="1" applyBorder="1" applyAlignment="1">
      <alignment horizontal="center"/>
    </xf>
    <xf numFmtId="0" fontId="25" fillId="35" borderId="13" xfId="0" applyFont="1" applyFill="1" applyBorder="1" applyAlignment="1">
      <alignment vertical="center"/>
    </xf>
    <xf numFmtId="0" fontId="24" fillId="47" borderId="16" xfId="0" applyFont="1" applyFill="1" applyBorder="1" applyAlignment="1">
      <alignment horizontal="center" vertical="center"/>
    </xf>
    <xf numFmtId="0" fontId="24" fillId="47" borderId="16" xfId="0" applyFont="1" applyFill="1" applyBorder="1" applyAlignment="1">
      <alignment vertical="center"/>
    </xf>
    <xf numFmtId="0" fontId="13" fillId="48" borderId="12" xfId="0" applyFont="1" applyFill="1" applyBorder="1"/>
    <xf numFmtId="0" fontId="0" fillId="49" borderId="12"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4" borderId="14" xfId="0" applyFont="1" applyFill="1" applyBorder="1" applyAlignment="1">
      <alignment horizontal="center"/>
    </xf>
    <xf numFmtId="0" fontId="0" fillId="0" borderId="14" xfId="0" applyFont="1" applyBorder="1" applyAlignment="1">
      <alignment horizontal="center"/>
    </xf>
    <xf numFmtId="0" fontId="13" fillId="33" borderId="14" xfId="0" applyFont="1" applyFill="1" applyBorder="1" applyAlignment="1">
      <alignment horizontal="center"/>
    </xf>
    <xf numFmtId="2" fontId="0" fillId="0" borderId="0" xfId="0" applyNumberFormat="1"/>
    <xf numFmtId="0" fontId="28" fillId="36" borderId="14" xfId="0" applyFont="1" applyFill="1" applyBorder="1" applyAlignment="1">
      <alignment vertical="center"/>
    </xf>
    <xf numFmtId="0" fontId="24" fillId="47" borderId="16" xfId="0" applyFont="1" applyFill="1" applyBorder="1" applyAlignment="1">
      <alignment horizontal="center" vertical="center"/>
    </xf>
    <xf numFmtId="0" fontId="24" fillId="47" borderId="17" xfId="0" applyFont="1" applyFill="1" applyBorder="1" applyAlignment="1">
      <alignment horizontal="center" vertical="center"/>
    </xf>
    <xf numFmtId="0" fontId="24" fillId="47" borderId="18" xfId="0" applyFont="1" applyFill="1" applyBorder="1" applyAlignment="1">
      <alignment horizontal="center" vertical="center"/>
    </xf>
    <xf numFmtId="0" fontId="24" fillId="47" borderId="0" xfId="0" applyFont="1" applyFill="1" applyBorder="1" applyAlignment="1">
      <alignment horizontal="center" vertical="center"/>
    </xf>
    <xf numFmtId="0" fontId="27" fillId="50" borderId="19" xfId="0" applyFont="1" applyFill="1" applyBorder="1" applyAlignment="1">
      <alignment horizontal="center" vertical="center"/>
    </xf>
    <xf numFmtId="0" fontId="27" fillId="50" borderId="20" xfId="0" applyFont="1" applyFill="1" applyBorder="1" applyAlignment="1">
      <alignment horizontal="center" vertical="center"/>
    </xf>
    <xf numFmtId="0" fontId="27" fillId="50" borderId="21" xfId="0" applyFont="1" applyFill="1" applyBorder="1" applyAlignment="1">
      <alignment horizontal="center" vertical="center"/>
    </xf>
    <xf numFmtId="0" fontId="27" fillId="50" borderId="22" xfId="0" applyFont="1" applyFill="1" applyBorder="1" applyAlignment="1">
      <alignment horizontal="center" vertical="center"/>
    </xf>
    <xf numFmtId="0" fontId="27" fillId="50" borderId="0" xfId="0" applyFont="1" applyFill="1" applyBorder="1" applyAlignment="1">
      <alignment horizontal="center" vertical="center"/>
    </xf>
    <xf numFmtId="0" fontId="27" fillId="50" borderId="23" xfId="0" applyFont="1" applyFill="1" applyBorder="1" applyAlignment="1">
      <alignment horizontal="center" vertical="center"/>
    </xf>
    <xf numFmtId="0" fontId="27" fillId="50" borderId="24" xfId="0" applyFont="1" applyFill="1" applyBorder="1" applyAlignment="1">
      <alignment horizontal="center" vertical="center"/>
    </xf>
    <xf numFmtId="0" fontId="27" fillId="50" borderId="25" xfId="0" applyFont="1" applyFill="1" applyBorder="1" applyAlignment="1">
      <alignment horizontal="center" vertical="center"/>
    </xf>
    <xf numFmtId="0" fontId="27" fillId="50" borderId="26"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7030A0"/>
        </patternFill>
      </fill>
    </dxf>
    <dxf>
      <font>
        <color rgb="FF9C0006"/>
      </font>
      <fill>
        <patternFill>
          <bgColor rgb="FFFFC7CE"/>
        </patternFill>
      </fill>
    </dxf>
    <dxf>
      <fill>
        <patternFill>
          <bgColor rgb="FF7030A0"/>
        </patternFill>
      </fill>
    </dxf>
    <dxf>
      <fill>
        <patternFill>
          <bgColor theme="7"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series per Streaming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lumMod val="95000"/>
                <a:lumOff val="5000"/>
              </a:schemeClr>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tx1">
                <a:lumMod val="95000"/>
                <a:lumOff val="5000"/>
              </a:schemeClr>
            </a:solidFill>
          </a:ln>
          <a:effectLst/>
        </c:spPr>
      </c:pivotFmt>
      <c:pivotFmt>
        <c:idx val="2"/>
        <c:spPr>
          <a:solidFill>
            <a:schemeClr val="accent1"/>
          </a:solidFill>
          <a:ln w="19050">
            <a:solidFill>
              <a:schemeClr val="tx1">
                <a:lumMod val="95000"/>
                <a:lumOff val="5000"/>
              </a:schemeClr>
            </a:solidFill>
          </a:ln>
          <a:effectLst/>
        </c:spPr>
      </c:pivotFmt>
      <c:pivotFmt>
        <c:idx val="3"/>
        <c:spPr>
          <a:solidFill>
            <a:schemeClr val="accent1"/>
          </a:solidFill>
          <a:ln w="19050">
            <a:solidFill>
              <a:schemeClr val="tx1">
                <a:lumMod val="95000"/>
                <a:lumOff val="5000"/>
              </a:schemeClr>
            </a:solidFill>
          </a:ln>
          <a:effectLst/>
        </c:spPr>
      </c:pivotFmt>
      <c:pivotFmt>
        <c:idx val="4"/>
        <c:spPr>
          <a:solidFill>
            <a:schemeClr val="accent1"/>
          </a:solidFill>
          <a:ln w="19050">
            <a:solidFill>
              <a:schemeClr val="tx1">
                <a:lumMod val="95000"/>
                <a:lumOff val="5000"/>
              </a:schemeClr>
            </a:solidFill>
          </a:ln>
          <a:effectLst/>
        </c:spPr>
      </c:pivotFmt>
      <c:pivotFmt>
        <c:idx val="5"/>
        <c:spPr>
          <a:solidFill>
            <a:schemeClr val="accent1"/>
          </a:solidFill>
          <a:ln w="19050">
            <a:solidFill>
              <a:schemeClr val="tx1">
                <a:lumMod val="95000"/>
                <a:lumOff val="5000"/>
              </a:schemeClr>
            </a:solidFill>
          </a:ln>
          <a:effectLst/>
        </c:spPr>
      </c:pivotFmt>
    </c:pivotFmts>
    <c:plotArea>
      <c:layout/>
      <c:pieChart>
        <c:varyColors val="1"/>
        <c:ser>
          <c:idx val="0"/>
          <c:order val="0"/>
          <c:tx>
            <c:strRef>
              <c:f>'Ans 1'!$C$6</c:f>
              <c:strCache>
                <c:ptCount val="1"/>
                <c:pt idx="0">
                  <c:v>Total</c:v>
                </c:pt>
              </c:strCache>
            </c:strRef>
          </c:tx>
          <c:spPr>
            <a:ln>
              <a:solidFill>
                <a:schemeClr val="tx1">
                  <a:lumMod val="95000"/>
                  <a:lumOff val="5000"/>
                </a:schemeClr>
              </a:solidFill>
            </a:ln>
          </c:spPr>
          <c:dPt>
            <c:idx val="0"/>
            <c:bubble3D val="0"/>
            <c:spPr>
              <a:solidFill>
                <a:schemeClr val="accent1"/>
              </a:solidFill>
              <a:ln w="19050">
                <a:solidFill>
                  <a:schemeClr val="tx1">
                    <a:lumMod val="95000"/>
                    <a:lumOff val="5000"/>
                  </a:schemeClr>
                </a:solidFill>
              </a:ln>
              <a:effectLst/>
            </c:spPr>
            <c:extLst>
              <c:ext xmlns:c16="http://schemas.microsoft.com/office/drawing/2014/chart" uri="{C3380CC4-5D6E-409C-BE32-E72D297353CC}">
                <c16:uniqueId val="{00000001-91CF-41AE-8034-7A77042B9FD4}"/>
              </c:ext>
            </c:extLst>
          </c:dPt>
          <c:dPt>
            <c:idx val="1"/>
            <c:bubble3D val="0"/>
            <c:spPr>
              <a:solidFill>
                <a:schemeClr val="accent2"/>
              </a:solidFill>
              <a:ln w="19050">
                <a:solidFill>
                  <a:schemeClr val="tx1">
                    <a:lumMod val="95000"/>
                    <a:lumOff val="5000"/>
                  </a:schemeClr>
                </a:solidFill>
              </a:ln>
              <a:effectLst/>
            </c:spPr>
            <c:extLst>
              <c:ext xmlns:c16="http://schemas.microsoft.com/office/drawing/2014/chart" uri="{C3380CC4-5D6E-409C-BE32-E72D297353CC}">
                <c16:uniqueId val="{00000003-91CF-41AE-8034-7A77042B9FD4}"/>
              </c:ext>
            </c:extLst>
          </c:dPt>
          <c:dPt>
            <c:idx val="2"/>
            <c:bubble3D val="0"/>
            <c:spPr>
              <a:solidFill>
                <a:schemeClr val="accent3"/>
              </a:solidFill>
              <a:ln w="19050">
                <a:solidFill>
                  <a:schemeClr val="tx1">
                    <a:lumMod val="95000"/>
                    <a:lumOff val="5000"/>
                  </a:schemeClr>
                </a:solidFill>
              </a:ln>
              <a:effectLst/>
            </c:spPr>
            <c:extLst>
              <c:ext xmlns:c16="http://schemas.microsoft.com/office/drawing/2014/chart" uri="{C3380CC4-5D6E-409C-BE32-E72D297353CC}">
                <c16:uniqueId val="{00000005-91CF-41AE-8034-7A77042B9FD4}"/>
              </c:ext>
            </c:extLst>
          </c:dPt>
          <c:dPt>
            <c:idx val="3"/>
            <c:bubble3D val="0"/>
            <c:spPr>
              <a:solidFill>
                <a:schemeClr val="accent4"/>
              </a:solidFill>
              <a:ln w="19050">
                <a:solidFill>
                  <a:schemeClr val="tx1">
                    <a:lumMod val="95000"/>
                    <a:lumOff val="5000"/>
                  </a:schemeClr>
                </a:solidFill>
              </a:ln>
              <a:effectLst/>
            </c:spPr>
            <c:extLst>
              <c:ext xmlns:c16="http://schemas.microsoft.com/office/drawing/2014/chart" uri="{C3380CC4-5D6E-409C-BE32-E72D297353CC}">
                <c16:uniqueId val="{00000007-91CF-41AE-8034-7A77042B9FD4}"/>
              </c:ext>
            </c:extLst>
          </c:dPt>
          <c:dPt>
            <c:idx val="4"/>
            <c:bubble3D val="0"/>
            <c:spPr>
              <a:solidFill>
                <a:schemeClr val="accent5"/>
              </a:solidFill>
              <a:ln w="19050">
                <a:solidFill>
                  <a:schemeClr val="tx1">
                    <a:lumMod val="95000"/>
                    <a:lumOff val="5000"/>
                  </a:schemeClr>
                </a:solidFill>
              </a:ln>
              <a:effectLst/>
            </c:spPr>
            <c:extLst>
              <c:ext xmlns:c16="http://schemas.microsoft.com/office/drawing/2014/chart" uri="{C3380CC4-5D6E-409C-BE32-E72D297353CC}">
                <c16:uniqueId val="{00000009-91CF-41AE-8034-7A77042B9FD4}"/>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 1'!$B$7:$B$12</c:f>
              <c:strCache>
                <c:ptCount val="5"/>
                <c:pt idx="0">
                  <c:v>Prime Video</c:v>
                </c:pt>
                <c:pt idx="1">
                  <c:v>Hulu</c:v>
                </c:pt>
                <c:pt idx="2">
                  <c:v>others</c:v>
                </c:pt>
                <c:pt idx="3">
                  <c:v>Netflix</c:v>
                </c:pt>
                <c:pt idx="4">
                  <c:v>HBO MAX,HBO</c:v>
                </c:pt>
              </c:strCache>
            </c:strRef>
          </c:cat>
          <c:val>
            <c:numRef>
              <c:f>'Ans 1'!$C$7:$C$12</c:f>
              <c:numCache>
                <c:formatCode>General</c:formatCode>
                <c:ptCount val="5"/>
                <c:pt idx="0">
                  <c:v>14</c:v>
                </c:pt>
                <c:pt idx="1">
                  <c:v>17</c:v>
                </c:pt>
                <c:pt idx="2">
                  <c:v>98</c:v>
                </c:pt>
                <c:pt idx="3">
                  <c:v>49</c:v>
                </c:pt>
                <c:pt idx="4">
                  <c:v>21</c:v>
                </c:pt>
              </c:numCache>
            </c:numRef>
          </c:val>
          <c:extLst>
            <c:ext xmlns:c16="http://schemas.microsoft.com/office/drawing/2014/chart" uri="{C3380CC4-5D6E-409C-BE32-E72D297353CC}">
              <c16:uniqueId val="{00000000-718B-486C-BB6A-B65F21F3C5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IMDB Ratings</a:t>
            </a:r>
            <a:r>
              <a:rPr lang="en-US" b="1" baseline="0"/>
              <a:t> per Genre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 2'!$C$5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2'!$B$6:$B$13</c:f>
              <c:strCache>
                <c:ptCount val="7"/>
                <c:pt idx="0">
                  <c:v>Animation</c:v>
                </c:pt>
                <c:pt idx="1">
                  <c:v>Others</c:v>
                </c:pt>
                <c:pt idx="2">
                  <c:v>Crime,Drama</c:v>
                </c:pt>
                <c:pt idx="3">
                  <c:v>Action &amp; Adventure</c:v>
                </c:pt>
                <c:pt idx="4">
                  <c:v>Comedy</c:v>
                </c:pt>
                <c:pt idx="5">
                  <c:v>Drama</c:v>
                </c:pt>
                <c:pt idx="6">
                  <c:v>Horror</c:v>
                </c:pt>
              </c:strCache>
            </c:strRef>
          </c:cat>
          <c:val>
            <c:numRef>
              <c:f>'Ans 2'!$C$6:$C$13</c:f>
              <c:numCache>
                <c:formatCode>0.00</c:formatCode>
                <c:ptCount val="7"/>
                <c:pt idx="0">
                  <c:v>8.6666666666666661</c:v>
                </c:pt>
                <c:pt idx="1">
                  <c:v>8.6</c:v>
                </c:pt>
                <c:pt idx="2">
                  <c:v>8.5266666666666673</c:v>
                </c:pt>
                <c:pt idx="3">
                  <c:v>8.5</c:v>
                </c:pt>
                <c:pt idx="4">
                  <c:v>8.4155555555555548</c:v>
                </c:pt>
                <c:pt idx="5">
                  <c:v>8.3482142857142865</c:v>
                </c:pt>
                <c:pt idx="6">
                  <c:v>8.3142857142857149</c:v>
                </c:pt>
              </c:numCache>
            </c:numRef>
          </c:val>
          <c:extLst>
            <c:ext xmlns:c16="http://schemas.microsoft.com/office/drawing/2014/chart" uri="{C3380CC4-5D6E-409C-BE32-E72D297353CC}">
              <c16:uniqueId val="{00000000-79DC-4466-98B7-F7B75486BFB2}"/>
            </c:ext>
          </c:extLst>
        </c:ser>
        <c:dLbls>
          <c:dLblPos val="outEnd"/>
          <c:showLegendKey val="0"/>
          <c:showVal val="1"/>
          <c:showCatName val="0"/>
          <c:showSerName val="0"/>
          <c:showPercent val="0"/>
          <c:showBubbleSize val="0"/>
        </c:dLbls>
        <c:gapWidth val="182"/>
        <c:axId val="485993008"/>
        <c:axId val="485992592"/>
      </c:barChart>
      <c:catAx>
        <c:axId val="48599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92592"/>
        <c:crosses val="autoZero"/>
        <c:auto val="1"/>
        <c:lblAlgn val="ctr"/>
        <c:lblOffset val="100"/>
        <c:noMultiLvlLbl val="0"/>
      </c:catAx>
      <c:valAx>
        <c:axId val="485992592"/>
        <c:scaling>
          <c:orientation val="minMax"/>
        </c:scaling>
        <c:delete val="1"/>
        <c:axPos val="b"/>
        <c:numFmt formatCode="0.00" sourceLinked="1"/>
        <c:majorTickMark val="none"/>
        <c:minorTickMark val="none"/>
        <c:tickLblPos val="nextTo"/>
        <c:crossAx val="48599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3!PivotTable12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Content Rating wise Number of</a:t>
            </a:r>
            <a:r>
              <a:rPr lang="en-US" b="1" baseline="0"/>
              <a:t> series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 3'!$B$1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3'!$A$2:$A$6</c:f>
              <c:strCache>
                <c:ptCount val="4"/>
                <c:pt idx="0">
                  <c:v>all</c:v>
                </c:pt>
                <c:pt idx="1">
                  <c:v>7+</c:v>
                </c:pt>
                <c:pt idx="2">
                  <c:v>18+</c:v>
                </c:pt>
                <c:pt idx="3">
                  <c:v>16+</c:v>
                </c:pt>
              </c:strCache>
            </c:strRef>
          </c:cat>
          <c:val>
            <c:numRef>
              <c:f>'Ans 3'!$B$2:$B$6</c:f>
              <c:numCache>
                <c:formatCode>0.00</c:formatCode>
                <c:ptCount val="4"/>
                <c:pt idx="0">
                  <c:v>9.15</c:v>
                </c:pt>
                <c:pt idx="1">
                  <c:v>8.5130434782608688</c:v>
                </c:pt>
                <c:pt idx="2">
                  <c:v>8.5009433962264129</c:v>
                </c:pt>
                <c:pt idx="3">
                  <c:v>8.3249999999999993</c:v>
                </c:pt>
              </c:numCache>
            </c:numRef>
          </c:val>
          <c:smooth val="0"/>
          <c:extLst>
            <c:ext xmlns:c16="http://schemas.microsoft.com/office/drawing/2014/chart" uri="{C3380CC4-5D6E-409C-BE32-E72D297353CC}">
              <c16:uniqueId val="{00000000-D412-4F59-A5B1-6F8F3C3C30EE}"/>
            </c:ext>
          </c:extLst>
        </c:ser>
        <c:dLbls>
          <c:dLblPos val="t"/>
          <c:showLegendKey val="0"/>
          <c:showVal val="1"/>
          <c:showCatName val="0"/>
          <c:showSerName val="0"/>
          <c:showPercent val="0"/>
          <c:showBubbleSize val="0"/>
        </c:dLbls>
        <c:smooth val="0"/>
        <c:axId val="421580000"/>
        <c:axId val="421579584"/>
      </c:lineChart>
      <c:catAx>
        <c:axId val="42158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579584"/>
        <c:crosses val="autoZero"/>
        <c:auto val="1"/>
        <c:lblAlgn val="ctr"/>
        <c:lblOffset val="100"/>
        <c:noMultiLvlLbl val="0"/>
      </c:catAx>
      <c:valAx>
        <c:axId val="421579584"/>
        <c:scaling>
          <c:orientation val="minMax"/>
        </c:scaling>
        <c:delete val="1"/>
        <c:axPos val="l"/>
        <c:numFmt formatCode="0.00" sourceLinked="1"/>
        <c:majorTickMark val="none"/>
        <c:minorTickMark val="none"/>
        <c:tickLblPos val="nextTo"/>
        <c:crossAx val="421580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4!PivotTable9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Genre wise IMDB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4'!$A$2:$A$9</c:f>
              <c:strCache>
                <c:ptCount val="7"/>
                <c:pt idx="0">
                  <c:v>Drama</c:v>
                </c:pt>
                <c:pt idx="1">
                  <c:v>Comedy</c:v>
                </c:pt>
                <c:pt idx="2">
                  <c:v>Action &amp; Adventure</c:v>
                </c:pt>
                <c:pt idx="3">
                  <c:v>Crime,Drama</c:v>
                </c:pt>
                <c:pt idx="4">
                  <c:v>Others</c:v>
                </c:pt>
                <c:pt idx="5">
                  <c:v>Animation</c:v>
                </c:pt>
                <c:pt idx="6">
                  <c:v>Horror</c:v>
                </c:pt>
              </c:strCache>
            </c:strRef>
          </c:cat>
          <c:val>
            <c:numRef>
              <c:f>'Ans 4'!$B$2:$B$9</c:f>
              <c:numCache>
                <c:formatCode>General</c:formatCode>
                <c:ptCount val="7"/>
                <c:pt idx="0">
                  <c:v>56</c:v>
                </c:pt>
                <c:pt idx="1">
                  <c:v>45</c:v>
                </c:pt>
                <c:pt idx="2">
                  <c:v>41</c:v>
                </c:pt>
                <c:pt idx="3">
                  <c:v>30</c:v>
                </c:pt>
                <c:pt idx="4">
                  <c:v>11</c:v>
                </c:pt>
                <c:pt idx="5">
                  <c:v>9</c:v>
                </c:pt>
                <c:pt idx="6">
                  <c:v>7</c:v>
                </c:pt>
              </c:numCache>
            </c:numRef>
          </c:val>
          <c:extLst>
            <c:ext xmlns:c16="http://schemas.microsoft.com/office/drawing/2014/chart" uri="{C3380CC4-5D6E-409C-BE32-E72D297353CC}">
              <c16:uniqueId val="{00000000-DAE7-4087-A755-2D3DF20BB64B}"/>
            </c:ext>
          </c:extLst>
        </c:ser>
        <c:dLbls>
          <c:dLblPos val="outEnd"/>
          <c:showLegendKey val="0"/>
          <c:showVal val="1"/>
          <c:showCatName val="0"/>
          <c:showSerName val="0"/>
          <c:showPercent val="0"/>
          <c:showBubbleSize val="0"/>
        </c:dLbls>
        <c:gapWidth val="219"/>
        <c:overlap val="-27"/>
        <c:axId val="485993424"/>
        <c:axId val="485990512"/>
      </c:barChart>
      <c:catAx>
        <c:axId val="4859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90512"/>
        <c:crosses val="autoZero"/>
        <c:auto val="1"/>
        <c:lblAlgn val="ctr"/>
        <c:lblOffset val="100"/>
        <c:noMultiLvlLbl val="0"/>
      </c:catAx>
      <c:valAx>
        <c:axId val="485990512"/>
        <c:scaling>
          <c:orientation val="minMax"/>
        </c:scaling>
        <c:delete val="1"/>
        <c:axPos val="l"/>
        <c:numFmt formatCode="General" sourceLinked="1"/>
        <c:majorTickMark val="none"/>
        <c:minorTickMark val="none"/>
        <c:tickLblPos val="nextTo"/>
        <c:crossAx val="48599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5!PivotTable13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Highest Rated Netflix Series based on IMDB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176564793807547E-2"/>
          <c:y val="0.15146505753217454"/>
          <c:w val="0.91082343520619247"/>
          <c:h val="0.5667041382521435"/>
        </c:manualLayout>
      </c:layout>
      <c:bar3DChart>
        <c:barDir val="col"/>
        <c:grouping val="stacked"/>
        <c:varyColors val="0"/>
        <c:ser>
          <c:idx val="0"/>
          <c:order val="0"/>
          <c:tx>
            <c:strRef>
              <c:f>'Ans 5'!$B$3</c:f>
              <c:strCache>
                <c:ptCount val="1"/>
                <c:pt idx="0">
                  <c:v>Total</c:v>
                </c:pt>
              </c:strCache>
            </c:strRef>
          </c:tx>
          <c:spPr>
            <a:solidFill>
              <a:schemeClr val="accent1"/>
            </a:solidFill>
            <a:ln>
              <a:noFill/>
            </a:ln>
            <a:effectLst/>
            <a:sp3d/>
          </c:spPr>
          <c:invertIfNegative val="0"/>
          <c:cat>
            <c:multiLvlStrRef>
              <c:f>'Ans 5'!$A$4:$A$16</c:f>
              <c:multiLvlStrCache>
                <c:ptCount val="11"/>
                <c:lvl>
                  <c:pt idx="0">
                    <c:v>Kingdom</c:v>
                  </c:pt>
                  <c:pt idx="1">
                    <c:v>Breaking Bad</c:v>
                  </c:pt>
                  <c:pt idx="2">
                    <c:v>Our Planet</c:v>
                  </c:pt>
                  <c:pt idx="3">
                    <c:v>The Last Dance</c:v>
                  </c:pt>
                  <c:pt idx="4">
                    <c:v>Sherlock</c:v>
                  </c:pt>
                  <c:pt idx="5">
                    <c:v>The West Wing</c:v>
                  </c:pt>
                  <c:pt idx="6">
                    <c:v>Narcos</c:v>
                  </c:pt>
                  <c:pt idx="7">
                    <c:v>Stranger Things</c:v>
                  </c:pt>
                  <c:pt idx="8">
                    <c:v>Black Mirror</c:v>
                  </c:pt>
                  <c:pt idx="9">
                    <c:v>Dark</c:v>
                  </c:pt>
                  <c:pt idx="10">
                    <c:v>Peaky Blinders</c:v>
                  </c:pt>
                </c:lvl>
                <c:lvl>
                  <c:pt idx="0">
                    <c:v>Netflix</c:v>
                  </c:pt>
                </c:lvl>
              </c:multiLvlStrCache>
            </c:multiLvlStrRef>
          </c:cat>
          <c:val>
            <c:numRef>
              <c:f>'Ans 5'!$B$4:$B$16</c:f>
              <c:numCache>
                <c:formatCode>General</c:formatCode>
                <c:ptCount val="11"/>
                <c:pt idx="0">
                  <c:v>16.899999999999999</c:v>
                </c:pt>
                <c:pt idx="1">
                  <c:v>9.5</c:v>
                </c:pt>
                <c:pt idx="2">
                  <c:v>9.3000000000000007</c:v>
                </c:pt>
                <c:pt idx="3">
                  <c:v>9.1999999999999993</c:v>
                </c:pt>
                <c:pt idx="4">
                  <c:v>9.1</c:v>
                </c:pt>
                <c:pt idx="5">
                  <c:v>8.8000000000000007</c:v>
                </c:pt>
                <c:pt idx="6">
                  <c:v>8.8000000000000007</c:v>
                </c:pt>
                <c:pt idx="7">
                  <c:v>8.8000000000000007</c:v>
                </c:pt>
                <c:pt idx="8">
                  <c:v>8.8000000000000007</c:v>
                </c:pt>
                <c:pt idx="9">
                  <c:v>8.8000000000000007</c:v>
                </c:pt>
                <c:pt idx="10">
                  <c:v>8.8000000000000007</c:v>
                </c:pt>
              </c:numCache>
            </c:numRef>
          </c:val>
          <c:extLst>
            <c:ext xmlns:c16="http://schemas.microsoft.com/office/drawing/2014/chart" uri="{C3380CC4-5D6E-409C-BE32-E72D297353CC}">
              <c16:uniqueId val="{00000000-D075-4E93-9FC8-FAC1E5CBE7FC}"/>
            </c:ext>
          </c:extLst>
        </c:ser>
        <c:dLbls>
          <c:showLegendKey val="0"/>
          <c:showVal val="0"/>
          <c:showCatName val="0"/>
          <c:showSerName val="0"/>
          <c:showPercent val="0"/>
          <c:showBubbleSize val="0"/>
        </c:dLbls>
        <c:gapWidth val="150"/>
        <c:shape val="box"/>
        <c:axId val="328205872"/>
        <c:axId val="328205040"/>
        <c:axId val="0"/>
      </c:bar3DChart>
      <c:catAx>
        <c:axId val="328205872"/>
        <c:scaling>
          <c:orientation val="minMax"/>
        </c:scaling>
        <c:delete val="1"/>
        <c:axPos val="b"/>
        <c:numFmt formatCode="General" sourceLinked="1"/>
        <c:majorTickMark val="out"/>
        <c:minorTickMark val="none"/>
        <c:tickLblPos val="nextTo"/>
        <c:crossAx val="328205040"/>
        <c:crosses val="autoZero"/>
        <c:auto val="1"/>
        <c:lblAlgn val="ctr"/>
        <c:lblOffset val="100"/>
        <c:noMultiLvlLbl val="0"/>
      </c:catAx>
      <c:valAx>
        <c:axId val="328205040"/>
        <c:scaling>
          <c:orientation val="minMax"/>
        </c:scaling>
        <c:delete val="1"/>
        <c:axPos val="l"/>
        <c:numFmt formatCode="General" sourceLinked="1"/>
        <c:majorTickMark val="out"/>
        <c:minorTickMark val="none"/>
        <c:tickLblPos val="nextTo"/>
        <c:crossAx val="328205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6!PivotTable14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 of Content Rating Across All Series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0701754385964788E-2"/>
              <c:y val="-7.6849183477425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631578947368424"/>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4284841196003237"/>
              <c:y val="2.429735886974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7576225162056475"/>
              <c:y val="-4.542466845109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6140350877192984E-2"/>
              <c:y val="0.14985590778097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'Ans 6'!$B$4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96-4737-A4C4-4E4E106A12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96-4737-A4C4-4E4E106A12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96-4737-A4C4-4E4E106A12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96-4737-A4C4-4E4E106A12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96-4737-A4C4-4E4E106A128B}"/>
              </c:ext>
            </c:extLst>
          </c:dPt>
          <c:dLbls>
            <c:dLbl>
              <c:idx val="0"/>
              <c:layout>
                <c:manualLayout>
                  <c:x val="8.0701754385964788E-2"/>
                  <c:y val="-7.68491834774255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E96-4737-A4C4-4E4E106A128B}"/>
                </c:ext>
              </c:extLst>
            </c:dLbl>
            <c:dLbl>
              <c:idx val="1"/>
              <c:layout>
                <c:manualLayout>
                  <c:x val="-0.12631578947368424"/>
                  <c:y val="2.3054755043227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96-4737-A4C4-4E4E106A128B}"/>
                </c:ext>
              </c:extLst>
            </c:dLbl>
            <c:dLbl>
              <c:idx val="2"/>
              <c:layout>
                <c:manualLayout>
                  <c:x val="-0.14284841196003237"/>
                  <c:y val="2.42973588697452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E96-4737-A4C4-4E4E106A128B}"/>
                </c:ext>
              </c:extLst>
            </c:dLbl>
            <c:dLbl>
              <c:idx val="3"/>
              <c:layout>
                <c:manualLayout>
                  <c:x val="-0.17576225162056475"/>
                  <c:y val="-4.54246684510970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E96-4737-A4C4-4E4E106A128B}"/>
                </c:ext>
              </c:extLst>
            </c:dLbl>
            <c:dLbl>
              <c:idx val="4"/>
              <c:layout>
                <c:manualLayout>
                  <c:x val="5.6140350877192984E-2"/>
                  <c:y val="0.1498559077809798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E96-4737-A4C4-4E4E106A128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'Ans 6'!$A$5:$A$10</c:f>
              <c:strCache>
                <c:ptCount val="5"/>
                <c:pt idx="0">
                  <c:v>16+</c:v>
                </c:pt>
                <c:pt idx="1">
                  <c:v>18+</c:v>
                </c:pt>
                <c:pt idx="2">
                  <c:v>7+</c:v>
                </c:pt>
                <c:pt idx="3">
                  <c:v>all</c:v>
                </c:pt>
                <c:pt idx="4">
                  <c:v>N/A</c:v>
                </c:pt>
              </c:strCache>
            </c:strRef>
          </c:cat>
          <c:val>
            <c:numRef>
              <c:f>'Ans 6'!$B$5:$B$10</c:f>
              <c:numCache>
                <c:formatCode>General</c:formatCode>
                <c:ptCount val="5"/>
                <c:pt idx="0">
                  <c:v>347</c:v>
                </c:pt>
                <c:pt idx="1">
                  <c:v>356</c:v>
                </c:pt>
                <c:pt idx="2">
                  <c:v>165</c:v>
                </c:pt>
                <c:pt idx="3">
                  <c:v>21</c:v>
                </c:pt>
                <c:pt idx="4">
                  <c:v>10</c:v>
                </c:pt>
              </c:numCache>
            </c:numRef>
          </c:val>
          <c:extLst>
            <c:ext xmlns:c16="http://schemas.microsoft.com/office/drawing/2014/chart" uri="{C3380CC4-5D6E-409C-BE32-E72D297353CC}">
              <c16:uniqueId val="{00000000-D160-4EA7-AC90-A17F1F06594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7!PivotTable15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series released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 7'!$B$3</c:f>
              <c:strCache>
                <c:ptCount val="1"/>
                <c:pt idx="0">
                  <c:v>Total</c:v>
                </c:pt>
              </c:strCache>
            </c:strRef>
          </c:tx>
          <c:spPr>
            <a:ln w="28575" cap="rnd">
              <a:solidFill>
                <a:schemeClr val="accent1"/>
              </a:solidFill>
              <a:round/>
            </a:ln>
            <a:effectLst/>
          </c:spPr>
          <c:marker>
            <c:symbol val="none"/>
          </c:marker>
          <c:cat>
            <c:strRef>
              <c:f>'Ans 7'!$A$4:$A$61</c:f>
              <c:strCache>
                <c:ptCount val="57"/>
                <c:pt idx="0">
                  <c:v>1940</c:v>
                </c:pt>
                <c:pt idx="1">
                  <c:v>1951</c:v>
                </c:pt>
                <c:pt idx="2">
                  <c:v>1955</c:v>
                </c:pt>
                <c:pt idx="3">
                  <c:v>1959</c:v>
                </c:pt>
                <c:pt idx="4">
                  <c:v>1961</c:v>
                </c:pt>
                <c:pt idx="5">
                  <c:v>1963</c:v>
                </c:pt>
                <c:pt idx="6">
                  <c:v>1964</c:v>
                </c:pt>
                <c:pt idx="7">
                  <c:v>1966</c:v>
                </c:pt>
                <c:pt idx="8">
                  <c:v>1967</c:v>
                </c:pt>
                <c:pt idx="9">
                  <c:v>1969</c:v>
                </c:pt>
                <c:pt idx="10">
                  <c:v>1971</c:v>
                </c:pt>
                <c:pt idx="11">
                  <c:v>1972</c:v>
                </c:pt>
                <c:pt idx="12">
                  <c:v>1974</c:v>
                </c:pt>
                <c:pt idx="13">
                  <c:v>1975</c:v>
                </c:pt>
                <c:pt idx="14">
                  <c:v>1976</c:v>
                </c:pt>
                <c:pt idx="15">
                  <c:v>1977</c:v>
                </c:pt>
                <c:pt idx="16">
                  <c:v>1978</c:v>
                </c:pt>
                <c:pt idx="17">
                  <c:v>1980</c:v>
                </c:pt>
                <c:pt idx="18">
                  <c:v>1982</c:v>
                </c:pt>
                <c:pt idx="19">
                  <c:v>1983</c:v>
                </c:pt>
                <c:pt idx="20">
                  <c:v>1984</c:v>
                </c:pt>
                <c:pt idx="21">
                  <c:v>1985</c:v>
                </c:pt>
                <c:pt idx="22">
                  <c:v>1986</c:v>
                </c:pt>
                <c:pt idx="23">
                  <c:v>1987</c:v>
                </c:pt>
                <c:pt idx="24">
                  <c:v>1988</c:v>
                </c:pt>
                <c:pt idx="25">
                  <c:v>1989</c:v>
                </c:pt>
                <c:pt idx="26">
                  <c:v>1990</c:v>
                </c:pt>
                <c:pt idx="27">
                  <c:v>1991</c:v>
                </c:pt>
                <c:pt idx="28">
                  <c:v>1992</c:v>
                </c:pt>
                <c:pt idx="29">
                  <c:v>1993</c:v>
                </c:pt>
                <c:pt idx="30">
                  <c:v>1994</c:v>
                </c:pt>
                <c:pt idx="31">
                  <c:v>1995</c:v>
                </c:pt>
                <c:pt idx="32">
                  <c:v>1996</c:v>
                </c:pt>
                <c:pt idx="33">
                  <c:v>1997</c:v>
                </c:pt>
                <c:pt idx="34">
                  <c:v>1998</c:v>
                </c:pt>
                <c:pt idx="35">
                  <c:v>1999</c:v>
                </c:pt>
                <c:pt idx="36">
                  <c:v>2000</c:v>
                </c:pt>
                <c:pt idx="37">
                  <c:v>2001</c:v>
                </c:pt>
                <c:pt idx="38">
                  <c:v>2002</c:v>
                </c:pt>
                <c:pt idx="39">
                  <c:v>2003</c:v>
                </c:pt>
                <c:pt idx="40">
                  <c:v>2004</c:v>
                </c:pt>
                <c:pt idx="41">
                  <c:v>2005</c:v>
                </c:pt>
                <c:pt idx="42">
                  <c:v>2006</c:v>
                </c:pt>
                <c:pt idx="43">
                  <c:v>2007</c:v>
                </c:pt>
                <c:pt idx="44">
                  <c:v>2008</c:v>
                </c:pt>
                <c:pt idx="45">
                  <c:v>2009</c:v>
                </c:pt>
                <c:pt idx="46">
                  <c:v>2010</c:v>
                </c:pt>
                <c:pt idx="47">
                  <c:v>2011</c:v>
                </c:pt>
                <c:pt idx="48">
                  <c:v>2012</c:v>
                </c:pt>
                <c:pt idx="49">
                  <c:v>2013</c:v>
                </c:pt>
                <c:pt idx="50">
                  <c:v>2014</c:v>
                </c:pt>
                <c:pt idx="51">
                  <c:v>2015</c:v>
                </c:pt>
                <c:pt idx="52">
                  <c:v>2016</c:v>
                </c:pt>
                <c:pt idx="53">
                  <c:v>2017</c:v>
                </c:pt>
                <c:pt idx="54">
                  <c:v>2018</c:v>
                </c:pt>
                <c:pt idx="55">
                  <c:v>2019</c:v>
                </c:pt>
                <c:pt idx="56">
                  <c:v>2020</c:v>
                </c:pt>
              </c:strCache>
            </c:strRef>
          </c:cat>
          <c:val>
            <c:numRef>
              <c:f>'Ans 7'!$B$4:$B$61</c:f>
              <c:numCache>
                <c:formatCode>General</c:formatCode>
                <c:ptCount val="57"/>
                <c:pt idx="0">
                  <c:v>1</c:v>
                </c:pt>
                <c:pt idx="1">
                  <c:v>1</c:v>
                </c:pt>
                <c:pt idx="2">
                  <c:v>1</c:v>
                </c:pt>
                <c:pt idx="3">
                  <c:v>1</c:v>
                </c:pt>
                <c:pt idx="4">
                  <c:v>1</c:v>
                </c:pt>
                <c:pt idx="5">
                  <c:v>1</c:v>
                </c:pt>
                <c:pt idx="6">
                  <c:v>3</c:v>
                </c:pt>
                <c:pt idx="7">
                  <c:v>2</c:v>
                </c:pt>
                <c:pt idx="8">
                  <c:v>1</c:v>
                </c:pt>
                <c:pt idx="9">
                  <c:v>2</c:v>
                </c:pt>
                <c:pt idx="10">
                  <c:v>2</c:v>
                </c:pt>
                <c:pt idx="11">
                  <c:v>1</c:v>
                </c:pt>
                <c:pt idx="12">
                  <c:v>1</c:v>
                </c:pt>
                <c:pt idx="13">
                  <c:v>2</c:v>
                </c:pt>
                <c:pt idx="14">
                  <c:v>1</c:v>
                </c:pt>
                <c:pt idx="15">
                  <c:v>1</c:v>
                </c:pt>
                <c:pt idx="16">
                  <c:v>2</c:v>
                </c:pt>
                <c:pt idx="17">
                  <c:v>1</c:v>
                </c:pt>
                <c:pt idx="18">
                  <c:v>2</c:v>
                </c:pt>
                <c:pt idx="19">
                  <c:v>1</c:v>
                </c:pt>
                <c:pt idx="20">
                  <c:v>2</c:v>
                </c:pt>
                <c:pt idx="21">
                  <c:v>2</c:v>
                </c:pt>
                <c:pt idx="22">
                  <c:v>1</c:v>
                </c:pt>
                <c:pt idx="23">
                  <c:v>3</c:v>
                </c:pt>
                <c:pt idx="24">
                  <c:v>4</c:v>
                </c:pt>
                <c:pt idx="25">
                  <c:v>6</c:v>
                </c:pt>
                <c:pt idx="26">
                  <c:v>4</c:v>
                </c:pt>
                <c:pt idx="27">
                  <c:v>3</c:v>
                </c:pt>
                <c:pt idx="28">
                  <c:v>4</c:v>
                </c:pt>
                <c:pt idx="29">
                  <c:v>4</c:v>
                </c:pt>
                <c:pt idx="30">
                  <c:v>5</c:v>
                </c:pt>
                <c:pt idx="31">
                  <c:v>7</c:v>
                </c:pt>
                <c:pt idx="32">
                  <c:v>4</c:v>
                </c:pt>
                <c:pt idx="33">
                  <c:v>6</c:v>
                </c:pt>
                <c:pt idx="34">
                  <c:v>9</c:v>
                </c:pt>
                <c:pt idx="35">
                  <c:v>13</c:v>
                </c:pt>
                <c:pt idx="36">
                  <c:v>7</c:v>
                </c:pt>
                <c:pt idx="37">
                  <c:v>12</c:v>
                </c:pt>
                <c:pt idx="38">
                  <c:v>8</c:v>
                </c:pt>
                <c:pt idx="39">
                  <c:v>18</c:v>
                </c:pt>
                <c:pt idx="40">
                  <c:v>21</c:v>
                </c:pt>
                <c:pt idx="41">
                  <c:v>25</c:v>
                </c:pt>
                <c:pt idx="42">
                  <c:v>19</c:v>
                </c:pt>
                <c:pt idx="43">
                  <c:v>18</c:v>
                </c:pt>
                <c:pt idx="44">
                  <c:v>17</c:v>
                </c:pt>
                <c:pt idx="45">
                  <c:v>34</c:v>
                </c:pt>
                <c:pt idx="46">
                  <c:v>29</c:v>
                </c:pt>
                <c:pt idx="47">
                  <c:v>43</c:v>
                </c:pt>
                <c:pt idx="48">
                  <c:v>34</c:v>
                </c:pt>
                <c:pt idx="49">
                  <c:v>45</c:v>
                </c:pt>
                <c:pt idx="50">
                  <c:v>56</c:v>
                </c:pt>
                <c:pt idx="51">
                  <c:v>71</c:v>
                </c:pt>
                <c:pt idx="52">
                  <c:v>64</c:v>
                </c:pt>
                <c:pt idx="53">
                  <c:v>59</c:v>
                </c:pt>
                <c:pt idx="54">
                  <c:v>71</c:v>
                </c:pt>
                <c:pt idx="55">
                  <c:v>75</c:v>
                </c:pt>
                <c:pt idx="56">
                  <c:v>68</c:v>
                </c:pt>
              </c:numCache>
            </c:numRef>
          </c:val>
          <c:smooth val="0"/>
          <c:extLst>
            <c:ext xmlns:c16="http://schemas.microsoft.com/office/drawing/2014/chart" uri="{C3380CC4-5D6E-409C-BE32-E72D297353CC}">
              <c16:uniqueId val="{00000000-CE71-4F6F-A488-1E391CB26010}"/>
            </c:ext>
          </c:extLst>
        </c:ser>
        <c:dLbls>
          <c:showLegendKey val="0"/>
          <c:showVal val="0"/>
          <c:showCatName val="0"/>
          <c:showSerName val="0"/>
          <c:showPercent val="0"/>
          <c:showBubbleSize val="0"/>
        </c:dLbls>
        <c:smooth val="0"/>
        <c:axId val="328204624"/>
        <c:axId val="328206288"/>
      </c:lineChart>
      <c:catAx>
        <c:axId val="32820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06288"/>
        <c:crosses val="autoZero"/>
        <c:auto val="1"/>
        <c:lblAlgn val="ctr"/>
        <c:lblOffset val="100"/>
        <c:noMultiLvlLbl val="0"/>
      </c:catAx>
      <c:valAx>
        <c:axId val="32820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0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series per Streaming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lumMod val="95000"/>
                <a:lumOff val="5000"/>
              </a:schemeClr>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tx1">
                <a:lumMod val="95000"/>
                <a:lumOff val="5000"/>
              </a:schemeClr>
            </a:solidFill>
          </a:ln>
          <a:effectLst/>
        </c:spPr>
      </c:pivotFmt>
      <c:pivotFmt>
        <c:idx val="2"/>
        <c:spPr>
          <a:solidFill>
            <a:schemeClr val="accent1"/>
          </a:solidFill>
          <a:ln w="19050">
            <a:solidFill>
              <a:schemeClr val="tx1">
                <a:lumMod val="95000"/>
                <a:lumOff val="5000"/>
              </a:schemeClr>
            </a:solidFill>
          </a:ln>
          <a:effectLst/>
        </c:spPr>
      </c:pivotFmt>
      <c:pivotFmt>
        <c:idx val="3"/>
        <c:spPr>
          <a:solidFill>
            <a:schemeClr val="accent1"/>
          </a:solidFill>
          <a:ln w="19050">
            <a:solidFill>
              <a:schemeClr val="tx1">
                <a:lumMod val="95000"/>
                <a:lumOff val="5000"/>
              </a:schemeClr>
            </a:solidFill>
          </a:ln>
          <a:effectLst/>
        </c:spPr>
      </c:pivotFmt>
      <c:pivotFmt>
        <c:idx val="4"/>
        <c:spPr>
          <a:solidFill>
            <a:schemeClr val="accent1"/>
          </a:solidFill>
          <a:ln w="19050">
            <a:solidFill>
              <a:schemeClr val="tx1">
                <a:lumMod val="95000"/>
                <a:lumOff val="5000"/>
              </a:schemeClr>
            </a:solidFill>
          </a:ln>
          <a:effectLst/>
        </c:spPr>
      </c:pivotFmt>
      <c:pivotFmt>
        <c:idx val="5"/>
        <c:spPr>
          <a:solidFill>
            <a:schemeClr val="accent1"/>
          </a:solidFill>
          <a:ln w="19050">
            <a:solidFill>
              <a:schemeClr val="tx1">
                <a:lumMod val="95000"/>
                <a:lumOff val="5000"/>
              </a:schemeClr>
            </a:solidFill>
          </a:ln>
          <a:effectLst/>
        </c:spPr>
      </c:pivotFmt>
      <c:pivotFmt>
        <c:idx val="6"/>
        <c:spPr>
          <a:solidFill>
            <a:schemeClr val="accent1"/>
          </a:solidFill>
          <a:ln w="19050">
            <a:solidFill>
              <a:schemeClr val="tx1">
                <a:lumMod val="95000"/>
                <a:lumOff val="5000"/>
              </a:schemeClr>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tx1">
                <a:lumMod val="95000"/>
                <a:lumOff val="5000"/>
              </a:schemeClr>
            </a:solidFill>
          </a:ln>
          <a:effectLst/>
        </c:spPr>
      </c:pivotFmt>
      <c:pivotFmt>
        <c:idx val="8"/>
        <c:spPr>
          <a:solidFill>
            <a:schemeClr val="accent1"/>
          </a:solidFill>
          <a:ln w="19050">
            <a:solidFill>
              <a:schemeClr val="tx1">
                <a:lumMod val="95000"/>
                <a:lumOff val="5000"/>
              </a:schemeClr>
            </a:solidFill>
          </a:ln>
          <a:effectLst/>
        </c:spPr>
      </c:pivotFmt>
      <c:pivotFmt>
        <c:idx val="9"/>
        <c:spPr>
          <a:solidFill>
            <a:schemeClr val="accent1"/>
          </a:solidFill>
          <a:ln w="19050">
            <a:solidFill>
              <a:schemeClr val="tx1">
                <a:lumMod val="95000"/>
                <a:lumOff val="5000"/>
              </a:schemeClr>
            </a:solidFill>
          </a:ln>
          <a:effectLst/>
        </c:spPr>
      </c:pivotFmt>
      <c:pivotFmt>
        <c:idx val="10"/>
        <c:spPr>
          <a:solidFill>
            <a:schemeClr val="accent1"/>
          </a:solidFill>
          <a:ln w="19050">
            <a:solidFill>
              <a:schemeClr val="tx1">
                <a:lumMod val="95000"/>
                <a:lumOff val="5000"/>
              </a:schemeClr>
            </a:solidFill>
          </a:ln>
          <a:effectLst/>
        </c:spPr>
      </c:pivotFmt>
      <c:pivotFmt>
        <c:idx val="11"/>
        <c:spPr>
          <a:solidFill>
            <a:schemeClr val="accent1"/>
          </a:solidFill>
          <a:ln w="19050">
            <a:solidFill>
              <a:schemeClr val="tx1">
                <a:lumMod val="95000"/>
                <a:lumOff val="5000"/>
              </a:schemeClr>
            </a:solidFill>
          </a:ln>
          <a:effectLst/>
        </c:spPr>
      </c:pivotFmt>
      <c:pivotFmt>
        <c:idx val="12"/>
        <c:spPr>
          <a:solidFill>
            <a:schemeClr val="accent1"/>
          </a:solidFill>
          <a:ln w="31750">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31750">
            <a:noFill/>
          </a:ln>
          <a:effectLst/>
        </c:spPr>
      </c:pivotFmt>
      <c:pivotFmt>
        <c:idx val="14"/>
        <c:spPr>
          <a:solidFill>
            <a:schemeClr val="accent1"/>
          </a:solidFill>
          <a:ln w="31750">
            <a:noFill/>
          </a:ln>
          <a:effectLst/>
        </c:spPr>
      </c:pivotFmt>
      <c:pivotFmt>
        <c:idx val="15"/>
        <c:spPr>
          <a:solidFill>
            <a:schemeClr val="accent1"/>
          </a:solidFill>
          <a:ln w="31750">
            <a:noFill/>
          </a:ln>
          <a:effectLst/>
        </c:spPr>
      </c:pivotFmt>
      <c:pivotFmt>
        <c:idx val="16"/>
        <c:spPr>
          <a:solidFill>
            <a:schemeClr val="accent1"/>
          </a:solidFill>
          <a:ln w="31750">
            <a:noFill/>
          </a:ln>
          <a:effectLst/>
        </c:spPr>
      </c:pivotFmt>
      <c:pivotFmt>
        <c:idx val="17"/>
        <c:spPr>
          <a:solidFill>
            <a:schemeClr val="accent1"/>
          </a:solidFill>
          <a:ln w="31750">
            <a:noFill/>
          </a:ln>
          <a:effectLst/>
        </c:spPr>
      </c:pivotFmt>
    </c:pivotFmts>
    <c:plotArea>
      <c:layout/>
      <c:pieChart>
        <c:varyColors val="1"/>
        <c:ser>
          <c:idx val="0"/>
          <c:order val="0"/>
          <c:tx>
            <c:strRef>
              <c:f>'Ans 1'!$C$6</c:f>
              <c:strCache>
                <c:ptCount val="1"/>
                <c:pt idx="0">
                  <c:v>Total</c:v>
                </c:pt>
              </c:strCache>
            </c:strRef>
          </c:tx>
          <c:spPr>
            <a:ln w="31750">
              <a:noFill/>
            </a:ln>
          </c:spPr>
          <c:dPt>
            <c:idx val="0"/>
            <c:bubble3D val="0"/>
            <c:spPr>
              <a:solidFill>
                <a:schemeClr val="accent1"/>
              </a:solidFill>
              <a:ln w="31750">
                <a:noFill/>
              </a:ln>
              <a:effectLst/>
            </c:spPr>
            <c:extLst>
              <c:ext xmlns:c16="http://schemas.microsoft.com/office/drawing/2014/chart" uri="{C3380CC4-5D6E-409C-BE32-E72D297353CC}">
                <c16:uniqueId val="{00000001-E222-48E9-8C37-712655324150}"/>
              </c:ext>
            </c:extLst>
          </c:dPt>
          <c:dPt>
            <c:idx val="1"/>
            <c:bubble3D val="0"/>
            <c:spPr>
              <a:solidFill>
                <a:schemeClr val="accent2"/>
              </a:solidFill>
              <a:ln w="31750">
                <a:noFill/>
              </a:ln>
              <a:effectLst/>
            </c:spPr>
            <c:extLst>
              <c:ext xmlns:c16="http://schemas.microsoft.com/office/drawing/2014/chart" uri="{C3380CC4-5D6E-409C-BE32-E72D297353CC}">
                <c16:uniqueId val="{00000003-E222-48E9-8C37-712655324150}"/>
              </c:ext>
            </c:extLst>
          </c:dPt>
          <c:dPt>
            <c:idx val="2"/>
            <c:bubble3D val="0"/>
            <c:spPr>
              <a:solidFill>
                <a:schemeClr val="accent3"/>
              </a:solidFill>
              <a:ln w="31750">
                <a:noFill/>
              </a:ln>
              <a:effectLst/>
            </c:spPr>
            <c:extLst>
              <c:ext xmlns:c16="http://schemas.microsoft.com/office/drawing/2014/chart" uri="{C3380CC4-5D6E-409C-BE32-E72D297353CC}">
                <c16:uniqueId val="{00000005-E222-48E9-8C37-712655324150}"/>
              </c:ext>
            </c:extLst>
          </c:dPt>
          <c:dPt>
            <c:idx val="3"/>
            <c:bubble3D val="0"/>
            <c:spPr>
              <a:solidFill>
                <a:schemeClr val="accent4"/>
              </a:solidFill>
              <a:ln w="31750">
                <a:noFill/>
              </a:ln>
              <a:effectLst/>
            </c:spPr>
            <c:extLst>
              <c:ext xmlns:c16="http://schemas.microsoft.com/office/drawing/2014/chart" uri="{C3380CC4-5D6E-409C-BE32-E72D297353CC}">
                <c16:uniqueId val="{00000007-E222-48E9-8C37-712655324150}"/>
              </c:ext>
            </c:extLst>
          </c:dPt>
          <c:dPt>
            <c:idx val="4"/>
            <c:bubble3D val="0"/>
            <c:spPr>
              <a:solidFill>
                <a:schemeClr val="accent5"/>
              </a:solidFill>
              <a:ln w="31750">
                <a:noFill/>
              </a:ln>
              <a:effectLst/>
            </c:spPr>
            <c:extLst>
              <c:ext xmlns:c16="http://schemas.microsoft.com/office/drawing/2014/chart" uri="{C3380CC4-5D6E-409C-BE32-E72D297353CC}">
                <c16:uniqueId val="{00000009-E222-48E9-8C37-712655324150}"/>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 1'!$B$7:$B$12</c:f>
              <c:strCache>
                <c:ptCount val="5"/>
                <c:pt idx="0">
                  <c:v>Prime Video</c:v>
                </c:pt>
                <c:pt idx="1">
                  <c:v>Hulu</c:v>
                </c:pt>
                <c:pt idx="2">
                  <c:v>others</c:v>
                </c:pt>
                <c:pt idx="3">
                  <c:v>Netflix</c:v>
                </c:pt>
                <c:pt idx="4">
                  <c:v>HBO MAX,HBO</c:v>
                </c:pt>
              </c:strCache>
            </c:strRef>
          </c:cat>
          <c:val>
            <c:numRef>
              <c:f>'Ans 1'!$C$7:$C$12</c:f>
              <c:numCache>
                <c:formatCode>General</c:formatCode>
                <c:ptCount val="5"/>
                <c:pt idx="0">
                  <c:v>14</c:v>
                </c:pt>
                <c:pt idx="1">
                  <c:v>17</c:v>
                </c:pt>
                <c:pt idx="2">
                  <c:v>98</c:v>
                </c:pt>
                <c:pt idx="3">
                  <c:v>49</c:v>
                </c:pt>
                <c:pt idx="4">
                  <c:v>21</c:v>
                </c:pt>
              </c:numCache>
            </c:numRef>
          </c:val>
          <c:extLst>
            <c:ext xmlns:c16="http://schemas.microsoft.com/office/drawing/2014/chart" uri="{C3380CC4-5D6E-409C-BE32-E72D297353CC}">
              <c16:uniqueId val="{0000000A-E222-48E9-8C37-712655324150}"/>
            </c:ext>
          </c:extLst>
        </c:ser>
        <c:dLbls>
          <c:dLblPos val="bestFit"/>
          <c:showLegendKey val="0"/>
          <c:showVal val="1"/>
          <c:showCatName val="0"/>
          <c:showSerName val="0"/>
          <c:showPercent val="0"/>
          <c:showBubbleSize val="0"/>
          <c:showLeaderLines val="1"/>
        </c:dLbls>
        <c:firstSliceAng val="2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2!PivotTable11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IMDB Ratings</a:t>
            </a:r>
            <a:r>
              <a:rPr lang="en-US" b="1" baseline="0"/>
              <a:t> per Genre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 2'!$C$5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2'!$B$6:$B$13</c:f>
              <c:strCache>
                <c:ptCount val="7"/>
                <c:pt idx="0">
                  <c:v>Animation</c:v>
                </c:pt>
                <c:pt idx="1">
                  <c:v>Others</c:v>
                </c:pt>
                <c:pt idx="2">
                  <c:v>Crime,Drama</c:v>
                </c:pt>
                <c:pt idx="3">
                  <c:v>Action &amp; Adventure</c:v>
                </c:pt>
                <c:pt idx="4">
                  <c:v>Comedy</c:v>
                </c:pt>
                <c:pt idx="5">
                  <c:v>Drama</c:v>
                </c:pt>
                <c:pt idx="6">
                  <c:v>Horror</c:v>
                </c:pt>
              </c:strCache>
            </c:strRef>
          </c:cat>
          <c:val>
            <c:numRef>
              <c:f>'Ans 2'!$C$6:$C$13</c:f>
              <c:numCache>
                <c:formatCode>0.00</c:formatCode>
                <c:ptCount val="7"/>
                <c:pt idx="0">
                  <c:v>8.6666666666666661</c:v>
                </c:pt>
                <c:pt idx="1">
                  <c:v>8.6</c:v>
                </c:pt>
                <c:pt idx="2">
                  <c:v>8.5266666666666673</c:v>
                </c:pt>
                <c:pt idx="3">
                  <c:v>8.5</c:v>
                </c:pt>
                <c:pt idx="4">
                  <c:v>8.4155555555555548</c:v>
                </c:pt>
                <c:pt idx="5">
                  <c:v>8.3482142857142865</c:v>
                </c:pt>
                <c:pt idx="6">
                  <c:v>8.3142857142857149</c:v>
                </c:pt>
              </c:numCache>
            </c:numRef>
          </c:val>
          <c:extLst>
            <c:ext xmlns:c16="http://schemas.microsoft.com/office/drawing/2014/chart" uri="{C3380CC4-5D6E-409C-BE32-E72D297353CC}">
              <c16:uniqueId val="{00000000-D30D-4645-8B22-C95B5CF0D9A1}"/>
            </c:ext>
          </c:extLst>
        </c:ser>
        <c:dLbls>
          <c:dLblPos val="outEnd"/>
          <c:showLegendKey val="0"/>
          <c:showVal val="1"/>
          <c:showCatName val="0"/>
          <c:showSerName val="0"/>
          <c:showPercent val="0"/>
          <c:showBubbleSize val="0"/>
        </c:dLbls>
        <c:gapWidth val="182"/>
        <c:axId val="485993008"/>
        <c:axId val="485992592"/>
      </c:barChart>
      <c:catAx>
        <c:axId val="48599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92592"/>
        <c:crosses val="autoZero"/>
        <c:auto val="1"/>
        <c:lblAlgn val="ctr"/>
        <c:lblOffset val="100"/>
        <c:noMultiLvlLbl val="0"/>
      </c:catAx>
      <c:valAx>
        <c:axId val="485992592"/>
        <c:scaling>
          <c:orientation val="minMax"/>
        </c:scaling>
        <c:delete val="1"/>
        <c:axPos val="b"/>
        <c:numFmt formatCode="0.00" sourceLinked="1"/>
        <c:majorTickMark val="none"/>
        <c:minorTickMark val="none"/>
        <c:tickLblPos val="nextTo"/>
        <c:crossAx val="48599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3!PivotTable12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Content Rating wise Number of</a:t>
            </a:r>
            <a:r>
              <a:rPr lang="en-US" b="1" baseline="0"/>
              <a:t> series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'Ans 3'!$B$1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3'!$A$2:$A$6</c:f>
              <c:strCache>
                <c:ptCount val="4"/>
                <c:pt idx="0">
                  <c:v>all</c:v>
                </c:pt>
                <c:pt idx="1">
                  <c:v>7+</c:v>
                </c:pt>
                <c:pt idx="2">
                  <c:v>18+</c:v>
                </c:pt>
                <c:pt idx="3">
                  <c:v>16+</c:v>
                </c:pt>
              </c:strCache>
            </c:strRef>
          </c:cat>
          <c:val>
            <c:numRef>
              <c:f>'Ans 3'!$B$2:$B$6</c:f>
              <c:numCache>
                <c:formatCode>0.00</c:formatCode>
                <c:ptCount val="4"/>
                <c:pt idx="0">
                  <c:v>9.15</c:v>
                </c:pt>
                <c:pt idx="1">
                  <c:v>8.5130434782608688</c:v>
                </c:pt>
                <c:pt idx="2">
                  <c:v>8.5009433962264129</c:v>
                </c:pt>
                <c:pt idx="3">
                  <c:v>8.3249999999999993</c:v>
                </c:pt>
              </c:numCache>
            </c:numRef>
          </c:val>
          <c:extLst>
            <c:ext xmlns:c16="http://schemas.microsoft.com/office/drawing/2014/chart" uri="{C3380CC4-5D6E-409C-BE32-E72D297353CC}">
              <c16:uniqueId val="{00000000-49E0-4454-8CD1-74F15DB67798}"/>
            </c:ext>
          </c:extLst>
        </c:ser>
        <c:dLbls>
          <c:showLegendKey val="0"/>
          <c:showVal val="1"/>
          <c:showCatName val="0"/>
          <c:showSerName val="0"/>
          <c:showPercent val="0"/>
          <c:showBubbleSize val="0"/>
        </c:dLbls>
        <c:axId val="421580000"/>
        <c:axId val="421579584"/>
      </c:areaChart>
      <c:catAx>
        <c:axId val="42158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579584"/>
        <c:crosses val="autoZero"/>
        <c:auto val="1"/>
        <c:lblAlgn val="ctr"/>
        <c:lblOffset val="100"/>
        <c:noMultiLvlLbl val="0"/>
      </c:catAx>
      <c:valAx>
        <c:axId val="421579584"/>
        <c:scaling>
          <c:orientation val="minMax"/>
        </c:scaling>
        <c:delete val="1"/>
        <c:axPos val="l"/>
        <c:numFmt formatCode="0.00" sourceLinked="1"/>
        <c:majorTickMark val="none"/>
        <c:minorTickMark val="none"/>
        <c:tickLblPos val="nextTo"/>
        <c:crossAx val="421580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4!PivotTable9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Genre wise IMDB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82832583209299E-2"/>
          <c:y val="0.29436489541001409"/>
          <c:w val="0.95417074442981697"/>
          <c:h val="0.43433918613974121"/>
        </c:manualLayout>
      </c:layout>
      <c:barChart>
        <c:barDir val="col"/>
        <c:grouping val="clustered"/>
        <c:varyColors val="0"/>
        <c:ser>
          <c:idx val="0"/>
          <c:order val="0"/>
          <c:tx>
            <c:strRef>
              <c:f>'Ans 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4'!$A$2:$A$9</c:f>
              <c:strCache>
                <c:ptCount val="7"/>
                <c:pt idx="0">
                  <c:v>Drama</c:v>
                </c:pt>
                <c:pt idx="1">
                  <c:v>Comedy</c:v>
                </c:pt>
                <c:pt idx="2">
                  <c:v>Action &amp; Adventure</c:v>
                </c:pt>
                <c:pt idx="3">
                  <c:v>Crime,Drama</c:v>
                </c:pt>
                <c:pt idx="4">
                  <c:v>Others</c:v>
                </c:pt>
                <c:pt idx="5">
                  <c:v>Animation</c:v>
                </c:pt>
                <c:pt idx="6">
                  <c:v>Horror</c:v>
                </c:pt>
              </c:strCache>
            </c:strRef>
          </c:cat>
          <c:val>
            <c:numRef>
              <c:f>'Ans 4'!$B$2:$B$9</c:f>
              <c:numCache>
                <c:formatCode>General</c:formatCode>
                <c:ptCount val="7"/>
                <c:pt idx="0">
                  <c:v>56</c:v>
                </c:pt>
                <c:pt idx="1">
                  <c:v>45</c:v>
                </c:pt>
                <c:pt idx="2">
                  <c:v>41</c:v>
                </c:pt>
                <c:pt idx="3">
                  <c:v>30</c:v>
                </c:pt>
                <c:pt idx="4">
                  <c:v>11</c:v>
                </c:pt>
                <c:pt idx="5">
                  <c:v>9</c:v>
                </c:pt>
                <c:pt idx="6">
                  <c:v>7</c:v>
                </c:pt>
              </c:numCache>
            </c:numRef>
          </c:val>
          <c:extLst>
            <c:ext xmlns:c16="http://schemas.microsoft.com/office/drawing/2014/chart" uri="{C3380CC4-5D6E-409C-BE32-E72D297353CC}">
              <c16:uniqueId val="{00000000-CE74-46B9-A06B-5788EC754C0E}"/>
            </c:ext>
          </c:extLst>
        </c:ser>
        <c:dLbls>
          <c:dLblPos val="outEnd"/>
          <c:showLegendKey val="0"/>
          <c:showVal val="1"/>
          <c:showCatName val="0"/>
          <c:showSerName val="0"/>
          <c:showPercent val="0"/>
          <c:showBubbleSize val="0"/>
        </c:dLbls>
        <c:gapWidth val="219"/>
        <c:overlap val="-27"/>
        <c:axId val="485993424"/>
        <c:axId val="485990512"/>
      </c:barChart>
      <c:catAx>
        <c:axId val="4859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90512"/>
        <c:crosses val="autoZero"/>
        <c:auto val="1"/>
        <c:lblAlgn val="ctr"/>
        <c:lblOffset val="100"/>
        <c:noMultiLvlLbl val="0"/>
      </c:catAx>
      <c:valAx>
        <c:axId val="485990512"/>
        <c:scaling>
          <c:orientation val="minMax"/>
        </c:scaling>
        <c:delete val="1"/>
        <c:axPos val="l"/>
        <c:numFmt formatCode="General" sourceLinked="1"/>
        <c:majorTickMark val="none"/>
        <c:minorTickMark val="none"/>
        <c:tickLblPos val="nextTo"/>
        <c:crossAx val="48599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5!PivotTable13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Highest Rated Netflix Series based on IMDB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176564793807547E-2"/>
          <c:y val="0.15146505753217454"/>
          <c:w val="0.91082343520619247"/>
          <c:h val="0.5667041382521435"/>
        </c:manualLayout>
      </c:layout>
      <c:bar3DChart>
        <c:barDir val="col"/>
        <c:grouping val="stacked"/>
        <c:varyColors val="0"/>
        <c:ser>
          <c:idx val="0"/>
          <c:order val="0"/>
          <c:tx>
            <c:strRef>
              <c:f>'Ans 5'!$B$3</c:f>
              <c:strCache>
                <c:ptCount val="1"/>
                <c:pt idx="0">
                  <c:v>Total</c:v>
                </c:pt>
              </c:strCache>
            </c:strRef>
          </c:tx>
          <c:spPr>
            <a:solidFill>
              <a:schemeClr val="accent1"/>
            </a:solidFill>
            <a:ln>
              <a:noFill/>
            </a:ln>
            <a:effectLst/>
            <a:sp3d/>
          </c:spPr>
          <c:invertIfNegative val="0"/>
          <c:cat>
            <c:multiLvlStrRef>
              <c:f>'Ans 5'!$A$4:$A$16</c:f>
              <c:multiLvlStrCache>
                <c:ptCount val="11"/>
                <c:lvl>
                  <c:pt idx="0">
                    <c:v>Kingdom</c:v>
                  </c:pt>
                  <c:pt idx="1">
                    <c:v>Breaking Bad</c:v>
                  </c:pt>
                  <c:pt idx="2">
                    <c:v>Our Planet</c:v>
                  </c:pt>
                  <c:pt idx="3">
                    <c:v>The Last Dance</c:v>
                  </c:pt>
                  <c:pt idx="4">
                    <c:v>Sherlock</c:v>
                  </c:pt>
                  <c:pt idx="5">
                    <c:v>The West Wing</c:v>
                  </c:pt>
                  <c:pt idx="6">
                    <c:v>Narcos</c:v>
                  </c:pt>
                  <c:pt idx="7">
                    <c:v>Stranger Things</c:v>
                  </c:pt>
                  <c:pt idx="8">
                    <c:v>Black Mirror</c:v>
                  </c:pt>
                  <c:pt idx="9">
                    <c:v>Dark</c:v>
                  </c:pt>
                  <c:pt idx="10">
                    <c:v>Peaky Blinders</c:v>
                  </c:pt>
                </c:lvl>
                <c:lvl>
                  <c:pt idx="0">
                    <c:v>Netflix</c:v>
                  </c:pt>
                </c:lvl>
              </c:multiLvlStrCache>
            </c:multiLvlStrRef>
          </c:cat>
          <c:val>
            <c:numRef>
              <c:f>'Ans 5'!$B$4:$B$16</c:f>
              <c:numCache>
                <c:formatCode>General</c:formatCode>
                <c:ptCount val="11"/>
                <c:pt idx="0">
                  <c:v>16.899999999999999</c:v>
                </c:pt>
                <c:pt idx="1">
                  <c:v>9.5</c:v>
                </c:pt>
                <c:pt idx="2">
                  <c:v>9.3000000000000007</c:v>
                </c:pt>
                <c:pt idx="3">
                  <c:v>9.1999999999999993</c:v>
                </c:pt>
                <c:pt idx="4">
                  <c:v>9.1</c:v>
                </c:pt>
                <c:pt idx="5">
                  <c:v>8.8000000000000007</c:v>
                </c:pt>
                <c:pt idx="6">
                  <c:v>8.8000000000000007</c:v>
                </c:pt>
                <c:pt idx="7">
                  <c:v>8.8000000000000007</c:v>
                </c:pt>
                <c:pt idx="8">
                  <c:v>8.8000000000000007</c:v>
                </c:pt>
                <c:pt idx="9">
                  <c:v>8.8000000000000007</c:v>
                </c:pt>
                <c:pt idx="10">
                  <c:v>8.8000000000000007</c:v>
                </c:pt>
              </c:numCache>
            </c:numRef>
          </c:val>
          <c:extLst>
            <c:ext xmlns:c16="http://schemas.microsoft.com/office/drawing/2014/chart" uri="{C3380CC4-5D6E-409C-BE32-E72D297353CC}">
              <c16:uniqueId val="{00000000-84D4-49DD-AEAC-867E4C756DE9}"/>
            </c:ext>
          </c:extLst>
        </c:ser>
        <c:dLbls>
          <c:showLegendKey val="0"/>
          <c:showVal val="0"/>
          <c:showCatName val="0"/>
          <c:showSerName val="0"/>
          <c:showPercent val="0"/>
          <c:showBubbleSize val="0"/>
        </c:dLbls>
        <c:gapWidth val="150"/>
        <c:shape val="box"/>
        <c:axId val="328205872"/>
        <c:axId val="328205040"/>
        <c:axId val="0"/>
      </c:bar3DChart>
      <c:catAx>
        <c:axId val="328205872"/>
        <c:scaling>
          <c:orientation val="minMax"/>
        </c:scaling>
        <c:delete val="1"/>
        <c:axPos val="b"/>
        <c:numFmt formatCode="General" sourceLinked="1"/>
        <c:majorTickMark val="out"/>
        <c:minorTickMark val="none"/>
        <c:tickLblPos val="nextTo"/>
        <c:crossAx val="328205040"/>
        <c:crosses val="autoZero"/>
        <c:auto val="1"/>
        <c:lblAlgn val="ctr"/>
        <c:lblOffset val="100"/>
        <c:noMultiLvlLbl val="0"/>
      </c:catAx>
      <c:valAx>
        <c:axId val="328205040"/>
        <c:scaling>
          <c:orientation val="minMax"/>
        </c:scaling>
        <c:delete val="1"/>
        <c:axPos val="l"/>
        <c:numFmt formatCode="General" sourceLinked="1"/>
        <c:majorTickMark val="out"/>
        <c:minorTickMark val="none"/>
        <c:tickLblPos val="nextTo"/>
        <c:crossAx val="328205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6!PivotTable14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 of Content Rating Across All Series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0701754385964788E-2"/>
              <c:y val="-7.6849183477425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631578947368424"/>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4284841196003237"/>
              <c:y val="2.429735886974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7576225162056475"/>
              <c:y val="-4.542466845109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6140350877192984E-2"/>
              <c:y val="0.14985590778097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0701754385964788E-2"/>
              <c:y val="-7.6849183477425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631578947368424"/>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4284841196003237"/>
              <c:y val="2.429735886974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7576225162056475"/>
              <c:y val="-4.542466845109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6140350877192984E-2"/>
              <c:y val="0.14985590778097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0701754385964788E-2"/>
              <c:y val="-7.6849183477425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2631578947368424"/>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4284841196003237"/>
              <c:y val="2.429735886974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7576225162056475"/>
              <c:y val="-4.542466845109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5.6140350877192984E-2"/>
              <c:y val="0.14985590778097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432407038614339"/>
          <c:y val="0.29379497237935509"/>
          <c:w val="0.61729219645209721"/>
          <c:h val="0.5727223627732454"/>
        </c:manualLayout>
      </c:layout>
      <c:doughnutChart>
        <c:varyColors val="1"/>
        <c:ser>
          <c:idx val="0"/>
          <c:order val="0"/>
          <c:tx>
            <c:strRef>
              <c:f>'Ans 6'!$B$4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7-454F-926B-35FB5FAAD7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7-454F-926B-35FB5FAAD7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7-454F-926B-35FB5FAAD7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7-454F-926B-35FB5FAAD7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B7-454F-926B-35FB5FAAD7E8}"/>
              </c:ext>
            </c:extLst>
          </c:dPt>
          <c:dLbls>
            <c:dLbl>
              <c:idx val="0"/>
              <c:layout>
                <c:manualLayout>
                  <c:x val="8.0701754385964788E-2"/>
                  <c:y val="-7.68491834774255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B7-454F-926B-35FB5FAAD7E8}"/>
                </c:ext>
              </c:extLst>
            </c:dLbl>
            <c:dLbl>
              <c:idx val="1"/>
              <c:layout>
                <c:manualLayout>
                  <c:x val="-0.12631578947368424"/>
                  <c:y val="2.3054755043227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B7-454F-926B-35FB5FAAD7E8}"/>
                </c:ext>
              </c:extLst>
            </c:dLbl>
            <c:dLbl>
              <c:idx val="2"/>
              <c:layout>
                <c:manualLayout>
                  <c:x val="-0.14284841196003237"/>
                  <c:y val="2.42973588697452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B7-454F-926B-35FB5FAAD7E8}"/>
                </c:ext>
              </c:extLst>
            </c:dLbl>
            <c:dLbl>
              <c:idx val="3"/>
              <c:layout>
                <c:manualLayout>
                  <c:x val="-0.17576225162056475"/>
                  <c:y val="-4.54246684510970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B7-454F-926B-35FB5FAAD7E8}"/>
                </c:ext>
              </c:extLst>
            </c:dLbl>
            <c:dLbl>
              <c:idx val="4"/>
              <c:layout>
                <c:manualLayout>
                  <c:x val="5.6140350877192984E-2"/>
                  <c:y val="0.1498559077809798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B7-454F-926B-35FB5FAAD7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'Ans 6'!$A$5:$A$10</c:f>
              <c:strCache>
                <c:ptCount val="5"/>
                <c:pt idx="0">
                  <c:v>16+</c:v>
                </c:pt>
                <c:pt idx="1">
                  <c:v>18+</c:v>
                </c:pt>
                <c:pt idx="2">
                  <c:v>7+</c:v>
                </c:pt>
                <c:pt idx="3">
                  <c:v>all</c:v>
                </c:pt>
                <c:pt idx="4">
                  <c:v>N/A</c:v>
                </c:pt>
              </c:strCache>
            </c:strRef>
          </c:cat>
          <c:val>
            <c:numRef>
              <c:f>'Ans 6'!$B$5:$B$10</c:f>
              <c:numCache>
                <c:formatCode>General</c:formatCode>
                <c:ptCount val="5"/>
                <c:pt idx="0">
                  <c:v>347</c:v>
                </c:pt>
                <c:pt idx="1">
                  <c:v>356</c:v>
                </c:pt>
                <c:pt idx="2">
                  <c:v>165</c:v>
                </c:pt>
                <c:pt idx="3">
                  <c:v>21</c:v>
                </c:pt>
                <c:pt idx="4">
                  <c:v>10</c:v>
                </c:pt>
              </c:numCache>
            </c:numRef>
          </c:val>
          <c:extLst>
            <c:ext xmlns:c16="http://schemas.microsoft.com/office/drawing/2014/chart" uri="{C3380CC4-5D6E-409C-BE32-E72D297353CC}">
              <c16:uniqueId val="{0000000A-C6B7-454F-926B-35FB5FAAD7E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16192121899159492"/>
          <c:y val="0.88223877420727814"/>
          <c:w val="0.67615715350756256"/>
          <c:h val="0.11776122579272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[All_Streaming_Shows.xlsx]Ans 7!PivotTable15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series released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 7'!$B$3</c:f>
              <c:strCache>
                <c:ptCount val="1"/>
                <c:pt idx="0">
                  <c:v>Total</c:v>
                </c:pt>
              </c:strCache>
            </c:strRef>
          </c:tx>
          <c:spPr>
            <a:ln w="28575" cap="rnd">
              <a:solidFill>
                <a:schemeClr val="accent1"/>
              </a:solidFill>
              <a:round/>
            </a:ln>
            <a:effectLst/>
          </c:spPr>
          <c:marker>
            <c:symbol val="none"/>
          </c:marker>
          <c:cat>
            <c:strRef>
              <c:f>'Ans 7'!$A$4:$A$61</c:f>
              <c:strCache>
                <c:ptCount val="57"/>
                <c:pt idx="0">
                  <c:v>1940</c:v>
                </c:pt>
                <c:pt idx="1">
                  <c:v>1951</c:v>
                </c:pt>
                <c:pt idx="2">
                  <c:v>1955</c:v>
                </c:pt>
                <c:pt idx="3">
                  <c:v>1959</c:v>
                </c:pt>
                <c:pt idx="4">
                  <c:v>1961</c:v>
                </c:pt>
                <c:pt idx="5">
                  <c:v>1963</c:v>
                </c:pt>
                <c:pt idx="6">
                  <c:v>1964</c:v>
                </c:pt>
                <c:pt idx="7">
                  <c:v>1966</c:v>
                </c:pt>
                <c:pt idx="8">
                  <c:v>1967</c:v>
                </c:pt>
                <c:pt idx="9">
                  <c:v>1969</c:v>
                </c:pt>
                <c:pt idx="10">
                  <c:v>1971</c:v>
                </c:pt>
                <c:pt idx="11">
                  <c:v>1972</c:v>
                </c:pt>
                <c:pt idx="12">
                  <c:v>1974</c:v>
                </c:pt>
                <c:pt idx="13">
                  <c:v>1975</c:v>
                </c:pt>
                <c:pt idx="14">
                  <c:v>1976</c:v>
                </c:pt>
                <c:pt idx="15">
                  <c:v>1977</c:v>
                </c:pt>
                <c:pt idx="16">
                  <c:v>1978</c:v>
                </c:pt>
                <c:pt idx="17">
                  <c:v>1980</c:v>
                </c:pt>
                <c:pt idx="18">
                  <c:v>1982</c:v>
                </c:pt>
                <c:pt idx="19">
                  <c:v>1983</c:v>
                </c:pt>
                <c:pt idx="20">
                  <c:v>1984</c:v>
                </c:pt>
                <c:pt idx="21">
                  <c:v>1985</c:v>
                </c:pt>
                <c:pt idx="22">
                  <c:v>1986</c:v>
                </c:pt>
                <c:pt idx="23">
                  <c:v>1987</c:v>
                </c:pt>
                <c:pt idx="24">
                  <c:v>1988</c:v>
                </c:pt>
                <c:pt idx="25">
                  <c:v>1989</c:v>
                </c:pt>
                <c:pt idx="26">
                  <c:v>1990</c:v>
                </c:pt>
                <c:pt idx="27">
                  <c:v>1991</c:v>
                </c:pt>
                <c:pt idx="28">
                  <c:v>1992</c:v>
                </c:pt>
                <c:pt idx="29">
                  <c:v>1993</c:v>
                </c:pt>
                <c:pt idx="30">
                  <c:v>1994</c:v>
                </c:pt>
                <c:pt idx="31">
                  <c:v>1995</c:v>
                </c:pt>
                <c:pt idx="32">
                  <c:v>1996</c:v>
                </c:pt>
                <c:pt idx="33">
                  <c:v>1997</c:v>
                </c:pt>
                <c:pt idx="34">
                  <c:v>1998</c:v>
                </c:pt>
                <c:pt idx="35">
                  <c:v>1999</c:v>
                </c:pt>
                <c:pt idx="36">
                  <c:v>2000</c:v>
                </c:pt>
                <c:pt idx="37">
                  <c:v>2001</c:v>
                </c:pt>
                <c:pt idx="38">
                  <c:v>2002</c:v>
                </c:pt>
                <c:pt idx="39">
                  <c:v>2003</c:v>
                </c:pt>
                <c:pt idx="40">
                  <c:v>2004</c:v>
                </c:pt>
                <c:pt idx="41">
                  <c:v>2005</c:v>
                </c:pt>
                <c:pt idx="42">
                  <c:v>2006</c:v>
                </c:pt>
                <c:pt idx="43">
                  <c:v>2007</c:v>
                </c:pt>
                <c:pt idx="44">
                  <c:v>2008</c:v>
                </c:pt>
                <c:pt idx="45">
                  <c:v>2009</c:v>
                </c:pt>
                <c:pt idx="46">
                  <c:v>2010</c:v>
                </c:pt>
                <c:pt idx="47">
                  <c:v>2011</c:v>
                </c:pt>
                <c:pt idx="48">
                  <c:v>2012</c:v>
                </c:pt>
                <c:pt idx="49">
                  <c:v>2013</c:v>
                </c:pt>
                <c:pt idx="50">
                  <c:v>2014</c:v>
                </c:pt>
                <c:pt idx="51">
                  <c:v>2015</c:v>
                </c:pt>
                <c:pt idx="52">
                  <c:v>2016</c:v>
                </c:pt>
                <c:pt idx="53">
                  <c:v>2017</c:v>
                </c:pt>
                <c:pt idx="54">
                  <c:v>2018</c:v>
                </c:pt>
                <c:pt idx="55">
                  <c:v>2019</c:v>
                </c:pt>
                <c:pt idx="56">
                  <c:v>2020</c:v>
                </c:pt>
              </c:strCache>
            </c:strRef>
          </c:cat>
          <c:val>
            <c:numRef>
              <c:f>'Ans 7'!$B$4:$B$61</c:f>
              <c:numCache>
                <c:formatCode>General</c:formatCode>
                <c:ptCount val="57"/>
                <c:pt idx="0">
                  <c:v>1</c:v>
                </c:pt>
                <c:pt idx="1">
                  <c:v>1</c:v>
                </c:pt>
                <c:pt idx="2">
                  <c:v>1</c:v>
                </c:pt>
                <c:pt idx="3">
                  <c:v>1</c:v>
                </c:pt>
                <c:pt idx="4">
                  <c:v>1</c:v>
                </c:pt>
                <c:pt idx="5">
                  <c:v>1</c:v>
                </c:pt>
                <c:pt idx="6">
                  <c:v>3</c:v>
                </c:pt>
                <c:pt idx="7">
                  <c:v>2</c:v>
                </c:pt>
                <c:pt idx="8">
                  <c:v>1</c:v>
                </c:pt>
                <c:pt idx="9">
                  <c:v>2</c:v>
                </c:pt>
                <c:pt idx="10">
                  <c:v>2</c:v>
                </c:pt>
                <c:pt idx="11">
                  <c:v>1</c:v>
                </c:pt>
                <c:pt idx="12">
                  <c:v>1</c:v>
                </c:pt>
                <c:pt idx="13">
                  <c:v>2</c:v>
                </c:pt>
                <c:pt idx="14">
                  <c:v>1</c:v>
                </c:pt>
                <c:pt idx="15">
                  <c:v>1</c:v>
                </c:pt>
                <c:pt idx="16">
                  <c:v>2</c:v>
                </c:pt>
                <c:pt idx="17">
                  <c:v>1</c:v>
                </c:pt>
                <c:pt idx="18">
                  <c:v>2</c:v>
                </c:pt>
                <c:pt idx="19">
                  <c:v>1</c:v>
                </c:pt>
                <c:pt idx="20">
                  <c:v>2</c:v>
                </c:pt>
                <c:pt idx="21">
                  <c:v>2</c:v>
                </c:pt>
                <c:pt idx="22">
                  <c:v>1</c:v>
                </c:pt>
                <c:pt idx="23">
                  <c:v>3</c:v>
                </c:pt>
                <c:pt idx="24">
                  <c:v>4</c:v>
                </c:pt>
                <c:pt idx="25">
                  <c:v>6</c:v>
                </c:pt>
                <c:pt idx="26">
                  <c:v>4</c:v>
                </c:pt>
                <c:pt idx="27">
                  <c:v>3</c:v>
                </c:pt>
                <c:pt idx="28">
                  <c:v>4</c:v>
                </c:pt>
                <c:pt idx="29">
                  <c:v>4</c:v>
                </c:pt>
                <c:pt idx="30">
                  <c:v>5</c:v>
                </c:pt>
                <c:pt idx="31">
                  <c:v>7</c:v>
                </c:pt>
                <c:pt idx="32">
                  <c:v>4</c:v>
                </c:pt>
                <c:pt idx="33">
                  <c:v>6</c:v>
                </c:pt>
                <c:pt idx="34">
                  <c:v>9</c:v>
                </c:pt>
                <c:pt idx="35">
                  <c:v>13</c:v>
                </c:pt>
                <c:pt idx="36">
                  <c:v>7</c:v>
                </c:pt>
                <c:pt idx="37">
                  <c:v>12</c:v>
                </c:pt>
                <c:pt idx="38">
                  <c:v>8</c:v>
                </c:pt>
                <c:pt idx="39">
                  <c:v>18</c:v>
                </c:pt>
                <c:pt idx="40">
                  <c:v>21</c:v>
                </c:pt>
                <c:pt idx="41">
                  <c:v>25</c:v>
                </c:pt>
                <c:pt idx="42">
                  <c:v>19</c:v>
                </c:pt>
                <c:pt idx="43">
                  <c:v>18</c:v>
                </c:pt>
                <c:pt idx="44">
                  <c:v>17</c:v>
                </c:pt>
                <c:pt idx="45">
                  <c:v>34</c:v>
                </c:pt>
                <c:pt idx="46">
                  <c:v>29</c:v>
                </c:pt>
                <c:pt idx="47">
                  <c:v>43</c:v>
                </c:pt>
                <c:pt idx="48">
                  <c:v>34</c:v>
                </c:pt>
                <c:pt idx="49">
                  <c:v>45</c:v>
                </c:pt>
                <c:pt idx="50">
                  <c:v>56</c:v>
                </c:pt>
                <c:pt idx="51">
                  <c:v>71</c:v>
                </c:pt>
                <c:pt idx="52">
                  <c:v>64</c:v>
                </c:pt>
                <c:pt idx="53">
                  <c:v>59</c:v>
                </c:pt>
                <c:pt idx="54">
                  <c:v>71</c:v>
                </c:pt>
                <c:pt idx="55">
                  <c:v>75</c:v>
                </c:pt>
                <c:pt idx="56">
                  <c:v>68</c:v>
                </c:pt>
              </c:numCache>
            </c:numRef>
          </c:val>
          <c:smooth val="0"/>
          <c:extLst>
            <c:ext xmlns:c16="http://schemas.microsoft.com/office/drawing/2014/chart" uri="{C3380CC4-5D6E-409C-BE32-E72D297353CC}">
              <c16:uniqueId val="{00000000-FCD2-4EF3-83AF-1D54E5B9F4FE}"/>
            </c:ext>
          </c:extLst>
        </c:ser>
        <c:dLbls>
          <c:showLegendKey val="0"/>
          <c:showVal val="0"/>
          <c:showCatName val="0"/>
          <c:showSerName val="0"/>
          <c:showPercent val="0"/>
          <c:showBubbleSize val="0"/>
        </c:dLbls>
        <c:smooth val="0"/>
        <c:axId val="328204624"/>
        <c:axId val="328206288"/>
      </c:lineChart>
      <c:catAx>
        <c:axId val="32820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06288"/>
        <c:crosses val="autoZero"/>
        <c:auto val="1"/>
        <c:lblAlgn val="ctr"/>
        <c:lblOffset val="100"/>
        <c:noMultiLvlLbl val="0"/>
      </c:catAx>
      <c:valAx>
        <c:axId val="32820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0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209550</xdr:colOff>
      <xdr:row>2</xdr:row>
      <xdr:rowOff>28575</xdr:rowOff>
    </xdr:from>
    <xdr:to>
      <xdr:col>0</xdr:col>
      <xdr:colOff>4781550</xdr:colOff>
      <xdr:row>21</xdr:row>
      <xdr:rowOff>95250</xdr:rowOff>
    </xdr:to>
    <xdr:graphicFrame macro="">
      <xdr:nvGraphicFramePr>
        <xdr:cNvPr id="2" name="Chart 1">
          <a:extLst>
            <a:ext uri="{FF2B5EF4-FFF2-40B4-BE49-F238E27FC236}">
              <a16:creationId xmlns:a16="http://schemas.microsoft.com/office/drawing/2014/main" id="{97197A58-145E-42B6-9952-100C07F8C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19049</xdr:colOff>
      <xdr:row>12</xdr:row>
      <xdr:rowOff>133351</xdr:rowOff>
    </xdr:from>
    <xdr:to>
      <xdr:col>2</xdr:col>
      <xdr:colOff>1152524</xdr:colOff>
      <xdr:row>21</xdr:row>
      <xdr:rowOff>142875</xdr:rowOff>
    </xdr:to>
    <mc:AlternateContent xmlns:mc="http://schemas.openxmlformats.org/markup-compatibility/2006" xmlns:a14="http://schemas.microsoft.com/office/drawing/2010/main">
      <mc:Choice Requires="a14">
        <xdr:graphicFrame macro="">
          <xdr:nvGraphicFramePr>
            <xdr:cNvPr id="6" name="Streaming Platform2">
              <a:extLst>
                <a:ext uri="{FF2B5EF4-FFF2-40B4-BE49-F238E27FC236}">
                  <a16:creationId xmlns:a16="http://schemas.microsoft.com/office/drawing/2014/main" id="{612FC435-C14D-4D9D-AA12-66B3AF8AE16E}"/>
                </a:ext>
              </a:extLst>
            </xdr:cNvPr>
            <xdr:cNvGraphicFramePr/>
          </xdr:nvGraphicFramePr>
          <xdr:xfrm>
            <a:off x="0" y="0"/>
            <a:ext cx="0" cy="0"/>
          </xdr:xfrm>
          <a:graphic>
            <a:graphicData uri="http://schemas.microsoft.com/office/drawing/2010/slicer">
              <sle:slicer xmlns:sle="http://schemas.microsoft.com/office/drawing/2010/slicer" name="Streaming Platform2"/>
            </a:graphicData>
          </a:graphic>
        </xdr:graphicFrame>
      </mc:Choice>
      <mc:Fallback xmlns="">
        <xdr:sp macro="" textlink="">
          <xdr:nvSpPr>
            <xdr:cNvPr id="0" name=""/>
            <xdr:cNvSpPr>
              <a:spLocks noTextEdit="1"/>
            </xdr:cNvSpPr>
          </xdr:nvSpPr>
          <xdr:spPr>
            <a:xfrm>
              <a:off x="4886324" y="2428876"/>
              <a:ext cx="2066925" cy="172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361951</xdr:colOff>
      <xdr:row>3</xdr:row>
      <xdr:rowOff>57150</xdr:rowOff>
    </xdr:from>
    <xdr:to>
      <xdr:col>0</xdr:col>
      <xdr:colOff>3771901</xdr:colOff>
      <xdr:row>19</xdr:row>
      <xdr:rowOff>76199</xdr:rowOff>
    </xdr:to>
    <xdr:graphicFrame macro="">
      <xdr:nvGraphicFramePr>
        <xdr:cNvPr id="2" name="Chart 1">
          <a:extLst>
            <a:ext uri="{FF2B5EF4-FFF2-40B4-BE49-F238E27FC236}">
              <a16:creationId xmlns:a16="http://schemas.microsoft.com/office/drawing/2014/main" id="{9E7A51DF-4C64-4208-801D-30578457F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4</xdr:row>
      <xdr:rowOff>14287</xdr:rowOff>
    </xdr:from>
    <xdr:to>
      <xdr:col>12</xdr:col>
      <xdr:colOff>581025</xdr:colOff>
      <xdr:row>20</xdr:row>
      <xdr:rowOff>28575</xdr:rowOff>
    </xdr:to>
    <xdr:graphicFrame macro="">
      <xdr:nvGraphicFramePr>
        <xdr:cNvPr id="2" name="Chart 1">
          <a:extLst>
            <a:ext uri="{FF2B5EF4-FFF2-40B4-BE49-F238E27FC236}">
              <a16:creationId xmlns:a16="http://schemas.microsoft.com/office/drawing/2014/main" id="{2E662684-7468-46CC-9C14-522CA512D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247650</xdr:colOff>
      <xdr:row>1</xdr:row>
      <xdr:rowOff>190499</xdr:rowOff>
    </xdr:from>
    <xdr:to>
      <xdr:col>11</xdr:col>
      <xdr:colOff>28575</xdr:colOff>
      <xdr:row>20</xdr:row>
      <xdr:rowOff>28574</xdr:rowOff>
    </xdr:to>
    <xdr:graphicFrame macro="">
      <xdr:nvGraphicFramePr>
        <xdr:cNvPr id="3" name="Chart 2">
          <a:extLst>
            <a:ext uri="{FF2B5EF4-FFF2-40B4-BE49-F238E27FC236}">
              <a16:creationId xmlns:a16="http://schemas.microsoft.com/office/drawing/2014/main" id="{D0088C88-3B26-489E-BB92-1DB5A88C6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876300</xdr:colOff>
      <xdr:row>1</xdr:row>
      <xdr:rowOff>171449</xdr:rowOff>
    </xdr:from>
    <xdr:to>
      <xdr:col>16</xdr:col>
      <xdr:colOff>114300</xdr:colOff>
      <xdr:row>5</xdr:row>
      <xdr:rowOff>66675</xdr:rowOff>
    </xdr:to>
    <mc:AlternateContent xmlns:mc="http://schemas.openxmlformats.org/markup-compatibility/2006" xmlns:a14="http://schemas.microsoft.com/office/drawing/2010/main">
      <mc:Choice Requires="a14">
        <xdr:graphicFrame macro="">
          <xdr:nvGraphicFramePr>
            <xdr:cNvPr id="2" name="Genre">
              <a:extLst>
                <a:ext uri="{FF2B5EF4-FFF2-40B4-BE49-F238E27FC236}">
                  <a16:creationId xmlns:a16="http://schemas.microsoft.com/office/drawing/2014/main" id="{2BBCA157-E90F-4B9B-A8EF-8AE35063D70C}"/>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257425" y="361949"/>
              <a:ext cx="9753600" cy="657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209550</xdr:colOff>
      <xdr:row>4</xdr:row>
      <xdr:rowOff>133350</xdr:rowOff>
    </xdr:from>
    <xdr:to>
      <xdr:col>12</xdr:col>
      <xdr:colOff>600075</xdr:colOff>
      <xdr:row>17</xdr:row>
      <xdr:rowOff>119062</xdr:rowOff>
    </xdr:to>
    <xdr:graphicFrame macro="">
      <xdr:nvGraphicFramePr>
        <xdr:cNvPr id="2" name="Chart 1">
          <a:extLst>
            <a:ext uri="{FF2B5EF4-FFF2-40B4-BE49-F238E27FC236}">
              <a16:creationId xmlns:a16="http://schemas.microsoft.com/office/drawing/2014/main" id="{DB2328ED-4A6F-46CB-A082-AC1CC39CF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276225</xdr:colOff>
      <xdr:row>2</xdr:row>
      <xdr:rowOff>76200</xdr:rowOff>
    </xdr:from>
    <xdr:to>
      <xdr:col>7</xdr:col>
      <xdr:colOff>533400</xdr:colOff>
      <xdr:row>17</xdr:row>
      <xdr:rowOff>104775</xdr:rowOff>
    </xdr:to>
    <xdr:graphicFrame macro="">
      <xdr:nvGraphicFramePr>
        <xdr:cNvPr id="2" name="Chart 1">
          <a:extLst>
            <a:ext uri="{FF2B5EF4-FFF2-40B4-BE49-F238E27FC236}">
              <a16:creationId xmlns:a16="http://schemas.microsoft.com/office/drawing/2014/main" id="{A6956741-29F4-42ED-BB5D-F3957411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152400</xdr:colOff>
      <xdr:row>1</xdr:row>
      <xdr:rowOff>1</xdr:rowOff>
    </xdr:from>
    <xdr:to>
      <xdr:col>13</xdr:col>
      <xdr:colOff>142876</xdr:colOff>
      <xdr:row>4</xdr:row>
      <xdr:rowOff>161925</xdr:rowOff>
    </xdr:to>
    <mc:AlternateContent xmlns:mc="http://schemas.openxmlformats.org/markup-compatibility/2006" xmlns:a14="http://schemas.microsoft.com/office/drawing/2010/main">
      <mc:Choice Requires="a14">
        <xdr:graphicFrame macro="">
          <xdr:nvGraphicFramePr>
            <xdr:cNvPr id="3" name="Content Rating">
              <a:extLst>
                <a:ext uri="{FF2B5EF4-FFF2-40B4-BE49-F238E27FC236}">
                  <a16:creationId xmlns:a16="http://schemas.microsoft.com/office/drawing/2014/main" id="{BBD912DB-DBC6-4EEC-BCA2-D69A9A515F64}"/>
                </a:ext>
              </a:extLst>
            </xdr:cNvPr>
            <xdr:cNvGraphicFramePr/>
          </xdr:nvGraphicFramePr>
          <xdr:xfrm>
            <a:off x="0" y="0"/>
            <a:ext cx="0" cy="0"/>
          </xdr:xfrm>
          <a:graphic>
            <a:graphicData uri="http://schemas.microsoft.com/office/drawing/2010/slicer">
              <sle:slicer xmlns:sle="http://schemas.microsoft.com/office/drawing/2010/slicer" name="Content Rating"/>
            </a:graphicData>
          </a:graphic>
        </xdr:graphicFrame>
      </mc:Choice>
      <mc:Fallback xmlns="">
        <xdr:sp macro="" textlink="">
          <xdr:nvSpPr>
            <xdr:cNvPr id="0" name=""/>
            <xdr:cNvSpPr>
              <a:spLocks noTextEdit="1"/>
            </xdr:cNvSpPr>
          </xdr:nvSpPr>
          <xdr:spPr>
            <a:xfrm>
              <a:off x="6572250" y="238126"/>
              <a:ext cx="2428876"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171449</xdr:colOff>
      <xdr:row>4</xdr:row>
      <xdr:rowOff>14287</xdr:rowOff>
    </xdr:from>
    <xdr:to>
      <xdr:col>11</xdr:col>
      <xdr:colOff>542924</xdr:colOff>
      <xdr:row>18</xdr:row>
      <xdr:rowOff>90487</xdr:rowOff>
    </xdr:to>
    <xdr:graphicFrame macro="">
      <xdr:nvGraphicFramePr>
        <xdr:cNvPr id="2" name="Chart 1">
          <a:extLst>
            <a:ext uri="{FF2B5EF4-FFF2-40B4-BE49-F238E27FC236}">
              <a16:creationId xmlns:a16="http://schemas.microsoft.com/office/drawing/2014/main" id="{982E9873-1A5A-485C-852C-740ED73E8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4</xdr:row>
      <xdr:rowOff>31750</xdr:rowOff>
    </xdr:from>
    <xdr:to>
      <xdr:col>5</xdr:col>
      <xdr:colOff>500062</xdr:colOff>
      <xdr:row>21</xdr:row>
      <xdr:rowOff>95250</xdr:rowOff>
    </xdr:to>
    <xdr:graphicFrame macro="">
      <xdr:nvGraphicFramePr>
        <xdr:cNvPr id="2" name="Chart 1">
          <a:extLst>
            <a:ext uri="{FF2B5EF4-FFF2-40B4-BE49-F238E27FC236}">
              <a16:creationId xmlns:a16="http://schemas.microsoft.com/office/drawing/2014/main" id="{70939E94-F3E8-4BAA-B2E2-0B43E0C1E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4</xdr:row>
      <xdr:rowOff>74083</xdr:rowOff>
    </xdr:from>
    <xdr:to>
      <xdr:col>15</xdr:col>
      <xdr:colOff>428624</xdr:colOff>
      <xdr:row>12</xdr:row>
      <xdr:rowOff>142875</xdr:rowOff>
    </xdr:to>
    <xdr:graphicFrame macro="">
      <xdr:nvGraphicFramePr>
        <xdr:cNvPr id="3" name="Chart 2">
          <a:extLst>
            <a:ext uri="{FF2B5EF4-FFF2-40B4-BE49-F238E27FC236}">
              <a16:creationId xmlns:a16="http://schemas.microsoft.com/office/drawing/2014/main" id="{5DA145FE-6839-4C50-861F-7CFA2B47E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238125</xdr:colOff>
      <xdr:row>21</xdr:row>
      <xdr:rowOff>146050</xdr:rowOff>
    </xdr:from>
    <xdr:to>
      <xdr:col>20</xdr:col>
      <xdr:colOff>404812</xdr:colOff>
      <xdr:row>35</xdr:row>
      <xdr:rowOff>107950</xdr:rowOff>
    </xdr:to>
    <xdr:graphicFrame macro="">
      <xdr:nvGraphicFramePr>
        <xdr:cNvPr id="4" name="Chart 3">
          <a:extLst>
            <a:ext uri="{FF2B5EF4-FFF2-40B4-BE49-F238E27FC236}">
              <a16:creationId xmlns:a16="http://schemas.microsoft.com/office/drawing/2014/main" id="{0A82263D-5620-4DB5-A8EE-0F30FEF84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547687</xdr:colOff>
      <xdr:row>13</xdr:row>
      <xdr:rowOff>4232</xdr:rowOff>
    </xdr:from>
    <xdr:to>
      <xdr:col>15</xdr:col>
      <xdr:colOff>428625</xdr:colOff>
      <xdr:row>21</xdr:row>
      <xdr:rowOff>80433</xdr:rowOff>
    </xdr:to>
    <xdr:graphicFrame macro="">
      <xdr:nvGraphicFramePr>
        <xdr:cNvPr id="6" name="Chart 5">
          <a:extLst>
            <a:ext uri="{FF2B5EF4-FFF2-40B4-BE49-F238E27FC236}">
              <a16:creationId xmlns:a16="http://schemas.microsoft.com/office/drawing/2014/main" id="{8B47EA19-87DE-4E3B-89DF-3D4D2B663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26457</xdr:colOff>
      <xdr:row>21</xdr:row>
      <xdr:rowOff>146050</xdr:rowOff>
    </xdr:from>
    <xdr:to>
      <xdr:col>11</xdr:col>
      <xdr:colOff>142874</xdr:colOff>
      <xdr:row>35</xdr:row>
      <xdr:rowOff>117475</xdr:rowOff>
    </xdr:to>
    <xdr:graphicFrame macro="">
      <xdr:nvGraphicFramePr>
        <xdr:cNvPr id="7" name="Chart 6">
          <a:extLst>
            <a:ext uri="{FF2B5EF4-FFF2-40B4-BE49-F238E27FC236}">
              <a16:creationId xmlns:a16="http://schemas.microsoft.com/office/drawing/2014/main" id="{A10B3994-04FE-4B28-8BB9-D667CBE99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523875</xdr:colOff>
      <xdr:row>21</xdr:row>
      <xdr:rowOff>135467</xdr:rowOff>
    </xdr:from>
    <xdr:to>
      <xdr:col>26</xdr:col>
      <xdr:colOff>380998</xdr:colOff>
      <xdr:row>35</xdr:row>
      <xdr:rowOff>135467</xdr:rowOff>
    </xdr:to>
    <xdr:graphicFrame macro="">
      <xdr:nvGraphicFramePr>
        <xdr:cNvPr id="8" name="Chart 7">
          <a:extLst>
            <a:ext uri="{FF2B5EF4-FFF2-40B4-BE49-F238E27FC236}">
              <a16:creationId xmlns:a16="http://schemas.microsoft.com/office/drawing/2014/main" id="{F1126275-3FDC-4638-8900-782815D0A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500064</xdr:colOff>
      <xdr:row>4</xdr:row>
      <xdr:rowOff>137583</xdr:rowOff>
    </xdr:from>
    <xdr:to>
      <xdr:col>26</xdr:col>
      <xdr:colOff>392907</xdr:colOff>
      <xdr:row>21</xdr:row>
      <xdr:rowOff>52917</xdr:rowOff>
    </xdr:to>
    <xdr:graphicFrame macro="">
      <xdr:nvGraphicFramePr>
        <xdr:cNvPr id="9" name="Chart 8">
          <a:extLst>
            <a:ext uri="{FF2B5EF4-FFF2-40B4-BE49-F238E27FC236}">
              <a16:creationId xmlns:a16="http://schemas.microsoft.com/office/drawing/2014/main" id="{23A51E10-CC15-43DD-9412-05046D4BC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31750</xdr:colOff>
      <xdr:row>0</xdr:row>
      <xdr:rowOff>10583</xdr:rowOff>
    </xdr:from>
    <xdr:to>
      <xdr:col>10</xdr:col>
      <xdr:colOff>433917</xdr:colOff>
      <xdr:row>3</xdr:row>
      <xdr:rowOff>179917</xdr:rowOff>
    </xdr:to>
    <mc:AlternateContent xmlns:mc="http://schemas.openxmlformats.org/markup-compatibility/2006" xmlns:a14="http://schemas.microsoft.com/office/drawing/2010/main">
      <mc:Choice Requires="a14">
        <xdr:graphicFrame macro="">
          <xdr:nvGraphicFramePr>
            <xdr:cNvPr id="11" name="Content Rating 1">
              <a:extLst>
                <a:ext uri="{FF2B5EF4-FFF2-40B4-BE49-F238E27FC236}">
                  <a16:creationId xmlns:a16="http://schemas.microsoft.com/office/drawing/2014/main" id="{D6C6063A-8DA2-444B-975D-2A4F528CF8B6}"/>
                </a:ext>
              </a:extLst>
            </xdr:cNvPr>
            <xdr:cNvGraphicFramePr/>
          </xdr:nvGraphicFramePr>
          <xdr:xfrm>
            <a:off x="0" y="0"/>
            <a:ext cx="0" cy="0"/>
          </xdr:xfrm>
          <a:graphic>
            <a:graphicData uri="http://schemas.microsoft.com/office/drawing/2010/slicer">
              <sle:slicer xmlns:sle="http://schemas.microsoft.com/office/drawing/2010/slicer" name="Content Rating 1"/>
            </a:graphicData>
          </a:graphic>
        </xdr:graphicFrame>
      </mc:Choice>
      <mc:Fallback xmlns="">
        <xdr:sp macro="" textlink="">
          <xdr:nvSpPr>
            <xdr:cNvPr id="0" name=""/>
            <xdr:cNvSpPr>
              <a:spLocks noTextEdit="1"/>
            </xdr:cNvSpPr>
          </xdr:nvSpPr>
          <xdr:spPr>
            <a:xfrm>
              <a:off x="3675063" y="10583"/>
              <a:ext cx="2831042" cy="740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455084</xdr:colOff>
      <xdr:row>0</xdr:row>
      <xdr:rowOff>21166</xdr:rowOff>
    </xdr:from>
    <xdr:to>
      <xdr:col>26</xdr:col>
      <xdr:colOff>387350</xdr:colOff>
      <xdr:row>3</xdr:row>
      <xdr:rowOff>190500</xdr:rowOff>
    </xdr:to>
    <mc:AlternateContent xmlns:mc="http://schemas.openxmlformats.org/markup-compatibility/2006" xmlns:a14="http://schemas.microsoft.com/office/drawing/2010/main">
      <mc:Choice Requires="a14">
        <xdr:graphicFrame macro="">
          <xdr:nvGraphicFramePr>
            <xdr:cNvPr id="12" name="Genre 1">
              <a:extLst>
                <a:ext uri="{FF2B5EF4-FFF2-40B4-BE49-F238E27FC236}">
                  <a16:creationId xmlns:a16="http://schemas.microsoft.com/office/drawing/2014/main" id="{FADCFFA8-8763-4797-B058-CE1DF3D3BE6E}"/>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6527272" y="21166"/>
              <a:ext cx="9647766" cy="740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shna Dutta" refreshedDate="46006.538993981485" createdVersion="7" refreshedVersion="7" minRefreshableVersion="3" recordCount="899" xr:uid="{6B454E37-38A6-465E-B1FF-1A53F5F29231}">
  <cacheSource type="worksheet">
    <worksheetSource ref="A1:I900" sheet="All_Streaming_Shows"/>
  </cacheSource>
  <cacheFields count="9">
    <cacheField name="Series Title" numFmtId="0">
      <sharedItems containsDate="1" containsMixedTypes="1" minDate="2001-01-09T00:00:00" maxDate="7427-03-29T18:39:03" count="894">
        <s v="Breaking Bad"/>
        <s v="Game of Thrones"/>
        <s v="Rick and Morty"/>
        <s v="Stranger Things"/>
        <s v="The Boys"/>
        <s v="Dark"/>
        <s v="Chernobyl"/>
        <s v="Sherlock"/>
        <s v="Fargo"/>
        <s v="Avatar: The Last Airbender"/>
        <s v="Friends"/>
        <s v="The Office"/>
        <s v="Supernatural"/>
        <s v="The Wire"/>
        <s v="Better Call Saul"/>
        <s v="Attack on Titan"/>
        <s v="Black Mirror"/>
        <s v="Band of Brothers"/>
        <s v="House"/>
        <s v="Lucifer"/>
        <s v="Money Heist"/>
        <s v="Mr. Robot"/>
        <s v="Peaky Blinders"/>
        <s v="Cobra Kai"/>
        <s v="The Simpsons"/>
        <s v="The Mandalorian"/>
        <s v="The Sopranos"/>
        <s v="The Umbrella Academy"/>
        <s v="Vikings"/>
        <s v="The Walking Dead"/>
        <s v="Lost"/>
        <s v="Brooklyn Nine-Nine"/>
        <s v="Sex Education"/>
        <s v="Mindhunter"/>
        <s v="Dexter"/>
        <s v="Narcos"/>
        <s v="Westworld"/>
        <s v="True Detective"/>
        <s v="South Park"/>
        <s v="Parks and Recreation"/>
        <s v="Mad Men"/>
        <s v="Marvel's Daredevil"/>
        <s v="Firefly"/>
        <s v="Fringe"/>
        <s v="Shameless"/>
        <s v="The Big Bang Theory"/>
        <s v="Modern Family"/>
        <s v="Suits"/>
        <s v="The Last Dance"/>
        <s v="Community"/>
        <s v="It's Always Sunny in Philadelphia"/>
        <s v="Twin Peaks"/>
        <s v="Hannibal"/>
        <s v="Ozark"/>
        <s v="Seinfeld"/>
        <s v="The Haunting"/>
        <s v="Fullmetal Alchemist: Brotherhood"/>
        <s v="The Witcher"/>
        <s v="The Fall"/>
        <s v="Homeland"/>
        <s v="The 100"/>
        <s v="How I Met Your Mother"/>
        <s v="The Good Place"/>
        <s v="The Expanse"/>
        <s v="Grey's Anatomy"/>
        <s v="My Hero Academia"/>
        <s v="House of Cards"/>
        <s v="The Handmaid's Tale"/>
        <s v="Marvel's Agents of S.H.I.E.L.D."/>
        <s v="Fleabag"/>
        <s v="The Crown"/>
        <s v="Outlander"/>
        <s v="When They See Us"/>
        <s v="Futurama"/>
        <s v="Sons of Anarchy"/>
        <s v="The Vampire Diaries"/>
        <s v="Prison Break"/>
        <s v="The Legend of Korra"/>
        <s v="Archer"/>
        <s v="Gravity Falls"/>
        <s v="Arrested Development"/>
        <s v="The Blacklist"/>
        <s v="Killing Eve"/>
        <s v="Last Week Tonight with John Oliver"/>
        <s v="Sacred Games"/>
        <s v="Orange Is the New Black"/>
        <s v="Yellowstone"/>
        <s v="Silicon Valley"/>
        <s v="Euphoria"/>
        <s v="The X-Files"/>
        <s v="The Flash"/>
        <s v="Justified"/>
        <s v="The Americans"/>
        <s v="This Is Us"/>
        <s v="Adventure Time"/>
        <s v="BoJack Horseman"/>
        <s v="The Marvelous Mrs. Maisel"/>
        <s v="The End of the F***ing World"/>
        <s v="Big Little Lies"/>
        <s v="Luther"/>
        <s v="Curb Your Enthusiasm"/>
        <s v="American Crime Story"/>
        <s v="Unbelievable"/>
        <s v="Boardwalk Empire"/>
        <s v="Orphan Black"/>
        <s v="The Last Kingdom"/>
        <s v="Rome"/>
        <s v="Batman: The Animated Series"/>
        <s v="Sense8"/>
        <s v="Six Feet Under"/>
        <s v="Penny Dreadful"/>
        <s v="Normal People"/>
        <s v="Scrubs"/>
        <s v="The IT Crowd"/>
        <s v="Once Upon a Time"/>
        <s v="Star Trek: The Next Generation"/>
        <s v="Broadchurch"/>
        <s v="Pride and Prejudice"/>
        <s v="Arrow"/>
        <s v="Chuck"/>
        <s v="Planet Earth II"/>
        <n v="24"/>
        <s v="What We Do in the Shadows"/>
        <s v="The Night Of"/>
        <s v="Buffy the Vampire Slayer"/>
        <s v="White Collar"/>
        <s v="Billions"/>
        <s v="The West Wing"/>
        <s v="Love, Death &amp; Robots"/>
        <s v="Legion"/>
        <s v="Ted Lasso"/>
        <s v="Psych"/>
        <s v="Marvel's Jessica Jones"/>
        <s v="Kingdom"/>
        <s v="The Twilight Zone"/>
        <s v="How to Get Away with Murder"/>
        <s v="Schitt's Creek"/>
        <s v="New Girl"/>
        <s v="The Shield"/>
        <s v="Line of Duty"/>
        <s v="Bodyguard"/>
        <s v="YOU"/>
        <s v="Friday Night Lights"/>
        <s v="Succession"/>
        <s v="Bosch"/>
        <s v="Deadwood"/>
        <s v="Pretty Little Liars"/>
        <s v="Raised by Wolves"/>
        <s v="Watchmen"/>
        <s v="Death Note"/>
        <s v="Atlanta"/>
        <s v="Bates Motel"/>
        <s v="Marvel's The Punisher"/>
        <s v="The Leftovers"/>
        <s v="Doom Patrol"/>
        <s v="Mr. Bean"/>
        <s v="The Sinner"/>
        <s v="30 Rock"/>
        <s v="The Man in the High Castle"/>
        <s v="Chappelle's Show"/>
        <s v="Elementary"/>
        <s v="Bob's Burgers"/>
        <s v="Naruto Shippūden"/>
        <s v="Dead to Me"/>
        <s v="Misfits"/>
        <s v="Altered Carbon"/>
        <s v="Good Girls"/>
        <s v="Teen Wolf"/>
        <s v="Good Omens"/>
        <s v="Master of None"/>
        <s v="Barry"/>
        <s v="Tom Clancy's Jack Ryan"/>
        <s v="The Pacific"/>
        <s v="Making a Murderer"/>
        <s v="Unorthodox"/>
        <s v="The Good Wife"/>
        <s v="Taboo"/>
        <s v="Lovecraft Country"/>
        <s v="Upload"/>
        <s v="Elite"/>
        <s v="Doctor Who"/>
        <s v="Our Planet"/>
        <s v="Star Wars: The Clone Wars"/>
        <s v="American Horror Story"/>
        <s v="One Piece"/>
        <s v="Castle"/>
        <s v="11.22.63"/>
        <s v="Gotham"/>
        <s v="Pushing Daisies"/>
        <s v="The Night Manager"/>
        <s v="Grimm"/>
        <s v="Hunter x Hunter"/>
        <s v="Bones"/>
        <s v="Ash vs Evil Dead"/>
        <s v="Frasier"/>
        <s v="The Morning Show"/>
        <s v="Russian Doll"/>
        <s v="One-Punch Man"/>
        <s v="Veronica Mars"/>
        <s v="Oz"/>
        <s v="Atypical"/>
        <s v="After Life"/>
        <s v="Criminal Minds"/>
        <s v="Steins;Gate"/>
        <s v="Black Books"/>
        <s v="Star Trek"/>
        <s v="Banshee"/>
        <s v="Narcos: Mexico"/>
        <s v="Sharp Objects"/>
        <s v="Battlestar Galactica"/>
        <s v="Black Sails"/>
        <s v="The OA"/>
        <s v="Veep"/>
        <s v="Gilmore Girls"/>
        <s v="The Outsider"/>
        <s v="The Killing"/>
        <s v="Big Mouth"/>
        <s v="The Newsroom"/>
        <s v="Burn Notice"/>
        <s v="Farscape"/>
        <s v="Person of Interest"/>
        <s v="The Alienist"/>
        <s v="Preacher"/>
        <s v="Never Have I Ever"/>
        <s v="True Blood"/>
        <s v="Spartacus"/>
        <s v="Tokyo Ghoul"/>
        <s v="Californication"/>
        <s v="Fawlty Towers"/>
        <s v="Counterpart"/>
        <s v="Ray Donovan"/>
        <s v="Peep Show"/>
        <s v="Halt and Catch Fire"/>
        <s v="Neon Genesis Evangelion"/>
        <s v="Naruto"/>
        <s v="Primal"/>
        <s v="Castlevania"/>
        <s v="Downton Abbey"/>
        <s v="Family Guy"/>
        <s v="The Grand Tour"/>
        <s v="Eureka"/>
        <s v="Revenge"/>
        <s v="Lie to Me"/>
        <s v="Endeavour"/>
        <s v="Heroes"/>
        <s v="Power"/>
        <s v="Monk"/>
        <s v="iZombie"/>
        <s v="Gomorrah"/>
        <s v="Spaced"/>
        <s v="The Orville"/>
        <s v="Weeds"/>
        <s v="Wynonna Earp"/>
        <s v="Love, Victor"/>
        <s v="Chilling Adventures of Sabrina"/>
        <s v="Smallville"/>
        <s v="Lost in Space"/>
        <s v="Anne with an E"/>
        <s v="The Vietnam War"/>
        <s v="Marvel's Agent Carter"/>
        <s v="Warehouse 13"/>
        <s v="His Dark Materials"/>
        <s v="Dragon Ball Z"/>
        <s v="Humans"/>
        <s v="Boston Legal"/>
        <s v="Teenage Bounty Hunters"/>
        <s v="Cosmos"/>
        <s v="Pose"/>
        <s v="Sneaky Pete"/>
        <s v="Desperate Housewives"/>
        <s v="Tiger King: Murder, Mayhem and Madness"/>
        <s v="Over the Garden Wall"/>
        <s v="Riverdale"/>
        <s v="NCIS"/>
        <s v="Titans"/>
        <s v="GLOW"/>
        <s v="The Jinx: The Life and Deaths of Robert Durst"/>
        <s v="Grace and Frankie"/>
        <s v="Young Justice"/>
        <s v="The Fosters"/>
        <s v="RuPaul's Drag Race"/>
        <s v="Hanna"/>
        <s v="Monty Python's Flying Circus"/>
        <s v="Entourage"/>
        <s v="Harley Quinn"/>
        <s v="12 Monkeys"/>
        <s v="Alias"/>
        <s v="The Owl House"/>
        <s v="13 Reasons Why"/>
        <s v="Resurrection: Ertugrul"/>
        <s v="Nathan For You"/>
        <s v="Dirk Gently's Holistic Detective Agency"/>
        <s v="A Series of Unfortunate Events"/>
        <s v="Star Trek: Deep Space Nine"/>
        <s v="Angel"/>
        <s v="Santa Clarita Diet"/>
        <s v="The Kominsky Method"/>
        <s v="Unbreakable Kimmy Schmidt"/>
        <s v="The Good Doctor"/>
        <s v="Into the Badlands"/>
        <s v="Manhunt"/>
        <s v="Borgen"/>
        <s v="Food Wars! Shokugeki no Soma"/>
        <s v="Eastbound &amp; Down"/>
        <s v="The Thick of It"/>
        <s v="I Am Not Okay with This"/>
        <s v="Defending Jacob"/>
        <s v="DC's Legends of Tomorrow"/>
        <s v="The Venture Bros."/>
        <s v="Father Ted"/>
        <s v="Undone"/>
        <s v="American Gods"/>
        <s v="Blue Bloods"/>
        <s v="Alias Grace"/>
        <s v="Years and Years"/>
        <d v="2001-01-09T00:00:00"/>
        <s v="Terminator: The Sarah Connor Chronicles"/>
        <s v="Leverage"/>
        <s v="The Tudors"/>
        <s v="Godless"/>
        <s v="The Knick"/>
        <s v="Gossip Girl"/>
        <s v="Nikita"/>
        <s v="Fauda"/>
        <s v="Marvel's Luke Cage"/>
        <s v="That '70s Show"/>
        <s v="Longmire"/>
        <s v="Carnival Row"/>
        <s v="Scandal"/>
        <s v="Maniac"/>
        <s v="Perry Mason"/>
        <s v="Broad City"/>
        <s v="Stargate SG-1"/>
        <s v="Wild Wild Country"/>
        <s v="Dark Matter"/>
        <s v="Masters of Sex"/>
        <s v="Cowboy Bebop"/>
        <s v="Workaholics"/>
        <s v="Charmed"/>
        <s v="Flight of the Conchords"/>
        <s v="The League"/>
        <s v="The Inbetweeners"/>
        <s v="American Vandal"/>
        <s v="Louie"/>
        <s v="Queer Eye"/>
        <s v="Rectify"/>
        <s v="Samurai Champloo"/>
        <s v="River"/>
        <s v="Continuum"/>
        <s v="Timeless"/>
        <s v="Demon Slayer: Kimetsu no Yaiba"/>
        <s v="The Great"/>
        <s v="Star Trek: Picard"/>
        <s v="Colony"/>
        <s v="Devs"/>
        <s v="Generation Kill"/>
        <s v="Hell on Wheels"/>
        <s v="Jane the Virgin"/>
        <s v="Haikyu!!"/>
        <s v="Parenthood"/>
        <s v="One Day at a Time"/>
        <s v="Castle Rock"/>
        <s v="My Brilliant Friend"/>
        <s v="Wayne"/>
        <s v="The Dragon Prince"/>
        <s v="Elfen Lied"/>
        <s v="The Borgias"/>
        <s v="Tales from the Crypt"/>
        <s v="My So-Called Life"/>
        <s v="Raising Hope"/>
        <s v="The Boondocks"/>
        <s v="Inside No. 9"/>
        <s v="Delhi Crime"/>
        <s v="The Last Ship"/>
        <s v="The Affair"/>
        <s v="Law &amp; Order: Special Victims Unit"/>
        <s v="Star Trek: Voyager"/>
        <s v="The Good Fight"/>
        <s v="Superstore"/>
        <s v="The Dark Crystal: Age of Resistance"/>
        <s v="Love"/>
        <s v="Derry Girls"/>
        <s v="Locke &amp; Key"/>
        <s v="Reign"/>
        <s v="Poldark"/>
        <s v="The Shannara Chronicles"/>
        <s v="See"/>
        <s v="Mushi-Shi"/>
        <s v="Limitless"/>
        <s v="HAPPY!"/>
        <s v="My Name Is Earl"/>
        <s v="Star Wars Rebels"/>
        <s v="X-Men"/>
        <s v="Wizards: Tales of Arcadia"/>
        <s v="Marvel's The Defenders"/>
        <s v="You're the Worst"/>
        <s v="The Exorcist"/>
        <s v="The Rookie"/>
        <s v="The Mentalist"/>
        <s v="Star Trek: Discovery"/>
        <s v="Top Boy"/>
        <s v="TRIGUN"/>
        <s v="Marco Polo"/>
        <s v="Call the Midwife"/>
        <s v="Everybody Hates Chris"/>
        <s v="Designated Survivor"/>
        <s v="Fresh Off the Boat"/>
        <s v="F is for Family"/>
        <s v="The Order"/>
        <s v="The Spy"/>
        <s v="Goliath"/>
        <s v="Dollhouse"/>
        <s v="The Stranger"/>
        <s v="The Deuce"/>
        <s v="The Strain"/>
        <s v="Bloodline"/>
        <s v="Switched at Birth"/>
        <s v="The Terror"/>
        <s v="The Fresh Prince of Bel-Air"/>
        <s v="Awkward."/>
        <s v="I May Destroy You"/>
        <s v="The Missing"/>
        <s v="Constantine"/>
        <s v="Kyle XY"/>
        <s v="Catastrophe"/>
        <s v="Teen Titans"/>
        <s v="Columbo"/>
        <s v="Ripper Street"/>
        <s v="Mystery Science Theater 3000"/>
        <s v="The Act"/>
        <s v="The Spectacular Spider-Man"/>
        <s v="The 4400"/>
        <s v="Little Fires Everywhere"/>
        <s v="Harlots"/>
        <s v="Bleach"/>
        <s v="Dead Like Me"/>
        <s v="Extras"/>
        <s v="P-Valley"/>
        <s v="American Dad!"/>
        <s v="Da Vinci's Demons"/>
        <s v="Blue Planet II"/>
        <s v="Zoey's Extraordinary Playlist"/>
        <s v="Whose Line Is It Anyway?"/>
        <s v="Younger"/>
        <s v="Please Like Me"/>
        <s v="Top Gear"/>
        <s v="Travelers"/>
        <s v="Queen of the South"/>
        <s v="Chef's Table"/>
        <s v="Fear the Walking Dead"/>
        <s v="Merlin"/>
        <s v="Ramy"/>
        <s v="Supergirl"/>
        <s v="Happy Valley"/>
        <s v="Party Down"/>
        <s v="Haven"/>
        <s v="SpongeBob SquarePants"/>
        <s v="The Family Man"/>
        <s v="Rizzoli &amp; Isles"/>
        <s v="Two and a Half Men"/>
        <s v="Infinity Train"/>
        <s v="Lethal Weapon"/>
        <s v="Homecoming"/>
        <s v="Marvel's Runaways"/>
        <s v="Legend of the Seeker"/>
        <s v="The Bridge"/>
        <s v="The Lost Room"/>
        <s v="John Adams"/>
        <s v="Hart of Dixie"/>
        <s v="Sex and the City"/>
        <s v="Impulse"/>
        <s v="Covert Affairs"/>
        <s v="Dragon Ball"/>
        <s v="Escape at Dannemora"/>
        <s v="Dirty Money"/>
        <s v="TURN: Washington's Spies"/>
        <s v="Modern Love"/>
        <s v="Almost Human"/>
        <s v="Episodes"/>
        <s v="Mrs. America"/>
        <s v="Planet Earth"/>
        <s v="Aggretsuko"/>
        <s v="Future Man"/>
        <s v="Soul Eater"/>
        <s v="Glee"/>
        <s v="Hawaii Five-0"/>
        <s v="Reno 911!"/>
        <s v="Malcolm in the Middle"/>
        <s v="DAVE"/>
        <s v="Sword Art Online"/>
        <s v="Batman Beyond"/>
        <s v="Into the Night"/>
        <s v="Mirzapur"/>
        <s v="Top of the Lake"/>
        <s v="Lost Girl"/>
        <s v="The Defiant Ones"/>
        <s v="Heartland"/>
        <s v="Better Off Ted"/>
        <s v="The O.C."/>
        <s v="The Originals"/>
        <s v="Tales from the Loop"/>
        <s v="Final Space"/>
        <s v="High Score"/>
        <s v="Sanditon"/>
        <s v="The Magicians"/>
        <s v="Key &amp; Peele"/>
        <s v="Outer Banks"/>
        <s v="On My Block"/>
        <s v="Happy Endings"/>
        <s v="In the Flesh"/>
        <s v="Southland"/>
        <s v="Hollywood"/>
        <s v="The Gifted"/>
        <s v="Forever"/>
        <s v="Sleepy Hollow"/>
        <s v="Damages"/>
        <s v="Mozart in the Jungle"/>
        <s v="Deutschland"/>
        <s v="The Following"/>
        <s v="Insecure"/>
        <s v="And Then There Were None"/>
        <s v="Chicago P.D."/>
        <s v="Falling Skies"/>
        <s v="Servant"/>
        <s v="Utopia"/>
        <s v="Lenox Hill"/>
        <s v="Case Closed"/>
        <s v="Mythic Quest: Raven's Banquet"/>
        <s v="Brave New World"/>
        <s v="Stargate Atlantis"/>
        <s v="Horace and Pete"/>
        <s v="The Addams Family"/>
        <s v="The Prisoner"/>
        <s v="The Last Man on Earth"/>
        <s v="Rescue Me"/>
        <s v="The Capture"/>
        <s v="Gavin &amp; Stacey"/>
        <s v="Gilligan's Island"/>
        <s v="Don't F**k with Cats: Hunting an Internet Killer"/>
        <s v="The Keepers"/>
        <s v="The Midnight Gospel"/>
        <s v="Warrior"/>
        <s v="Kidding"/>
        <s v="Space Force"/>
        <s v="Boss"/>
        <s v="Blue Mountain State"/>
        <s v="Away"/>
        <s v="Waco"/>
        <s v="Why Women Kill"/>
        <s v="One Strange Rock"/>
        <s v="Living with Yourself"/>
        <s v="Being Human"/>
        <s v="Dirty John"/>
        <s v="Invader ZIM"/>
        <s v="Looking for Alaska"/>
        <s v="Galavant"/>
        <s v="Patriot"/>
        <s v="Animal Kingdom"/>
        <s v="The Unit"/>
        <s v="Down to Earth with Zac Efron"/>
        <s v="Snowfall"/>
        <s v="Crazy Ex-Girlfriend"/>
        <s v="Cheers"/>
        <s v="Chicago Fire"/>
        <s v="Star Trek: Enterprise"/>
        <s v="Suburgatory"/>
        <s v="Skins"/>
        <s v="Marcella"/>
        <s v="Life on Mars"/>
        <s v="Shadowhunters"/>
        <s v="Patrick Melrose"/>
        <s v="The Carrie Diaries"/>
        <s v="Samurai Jack"/>
        <s v="Batman"/>
        <s v="Killjoys"/>
        <s v="Dragon Ball Z Kai"/>
        <s v="Wentworth"/>
        <s v="Gentleman Jack"/>
        <s v="M*A*S*H"/>
        <s v="Long Way Round"/>
        <s v="Ballers"/>
        <s v="I Know This Much Is True"/>
        <s v="Nurse Jackie"/>
        <s v="Graceland"/>
        <s v="The Tick"/>
        <s v="Prime Suspect"/>
        <s v="Quantum Leap"/>
        <s v="Jonathan Strange &amp; Mr Norrell"/>
        <s v="The Seven Deadly Sins"/>
        <s v="Messiah"/>
        <s v="Better Things"/>
        <s v="Black Dynamite"/>
        <s v="Kuroko's Basketball"/>
        <s v="The Librarians"/>
        <s v="I'll Be Gone in the Dark"/>
        <s v="High Fidelity"/>
        <s v="The Secret Circle"/>
        <s v="Stumptown"/>
        <s v="Looking"/>
        <s v="The Staircase"/>
        <s v="Disenchantment"/>
        <s v="The Society"/>
        <s v="The Durrells"/>
        <s v="Hilda"/>
        <s v="She-Ra and the Princesses of Power"/>
        <s v="Stargate Universe"/>
        <s v="Regular Show"/>
        <s v="Phineas and Ferb"/>
        <s v="Dead Set"/>
        <s v="It's Okay to Not Be Okay"/>
        <s v="Girls"/>
        <s v="Imposters"/>
        <s v="For All Mankind"/>
        <s v="The Middle"/>
        <s v="Angels in America"/>
        <s v="Absolutely Fabulous"/>
        <s v="The Righteous Gemstones"/>
        <s v="Spartacus: Gods of the Arena"/>
        <s v="Courage the Cowardly Dog"/>
        <s v="Emma"/>
        <s v="The Mindy Project"/>
        <s v="Studio 60 on the Sunset Strip"/>
        <s v="New Amsterdam"/>
        <s v="Everwood"/>
        <n v="0.03"/>
        <s v="The Promised Neverland"/>
        <s v="The Mighty Boosh"/>
        <s v="A.P. Bio"/>
        <s v="Portlandia"/>
        <s v="Your Lie in April"/>
        <s v="JoJo's Bizarre Adventure"/>
        <s v="Safe"/>
        <s v="Vice Principals"/>
        <s v="Don't Trust the B---- in Apartment 23"/>
        <s v="Close Enough"/>
        <s v="Evil"/>
        <s v="Trinkets"/>
        <s v="Agatha Christie's Poirot"/>
        <s v="Red Band Society"/>
        <s v="Mayans M.C."/>
        <s v="Wayward Pines"/>
        <s v="Scorpion"/>
        <s v="Catch-22"/>
        <s v="Genius"/>
        <s v="Death in Paradise"/>
        <s v="I, Claudius"/>
        <s v="O.J.: Made in America"/>
        <s v="North &amp; South"/>
        <s v="The Musketeers"/>
        <s v="The Planets"/>
        <s v="Evil Genius"/>
        <s v="The King of Queens"/>
        <s v="Fairy Tail"/>
        <s v="The White Queen"/>
        <s v="black-ish"/>
        <s v="Nip/Tuck"/>
        <s v="Feel Good"/>
        <s v="Pokémon"/>
        <s v="Marvel's Iron Fist"/>
        <s v="Caprica"/>
        <s v="PEN15"/>
        <s v="Blindspot"/>
        <s v="Madam Secretary"/>
        <s v="Midnight, Texas"/>
        <s v="Cheer"/>
        <s v="Lilyhammer"/>
        <s v="Cursed"/>
        <s v="Brockmire"/>
        <s v="Terra Nova"/>
        <s v="Hellsing Ultimate"/>
        <s v="Fullmetal Alchemist"/>
        <s v="Steven Universe"/>
        <s v="Code Geass: Lelouch of the Rebellion"/>
        <s v="Tom and Jerry"/>
        <s v="Wilfred"/>
        <s v="The Politician"/>
        <s v="Last Chance U"/>
        <s v="Sailor Moon"/>
        <s v="Teenage Mutant Ninja Turtles"/>
        <s v="Dragon Ball Super"/>
        <s v="The New Legends of Monkey"/>
        <s v="Crash Landing on You"/>
        <s v="MacGyver"/>
        <s v="Stargirl"/>
        <s v="Saturday Night Live"/>
        <s v="Strike Back"/>
        <s v="Doctor Foster"/>
        <s v="Project Blue Book"/>
        <s v="Babylon Berlin"/>
        <s v="Middleditch &amp; Schwartz"/>
        <s v="American Crime"/>
        <s v="CSI: Crime Scene Investigation"/>
        <s v="The Wonder Years"/>
        <s v="Cougar Town"/>
        <s v="Marianne"/>
        <s v="A Very English Scandal"/>
        <s v="Unsolved Mysteries"/>
        <s v="Queer as Folk"/>
        <s v="Bunheads"/>
        <s v="Ugly Betty"/>
        <s v="Marvel's Cloak &amp; Dagger"/>
        <s v="Married... with Children"/>
        <s v="United States of Tara"/>
        <s v="Manifest"/>
        <s v="Home Before Dark"/>
        <s v="Treme"/>
        <s v="Midsomer Murders"/>
        <s v="Witches of East End"/>
        <s v="Dinosaurs"/>
        <s v="The Looming Tower"/>
        <s v="Faking It"/>
        <s v="Mildred Pierce"/>
        <s v="Young Sheldon"/>
        <s v="Nashville"/>
        <s v="Godfather of Harlem"/>
        <s v="Mr Inbetween"/>
        <s v="Red Oaks"/>
        <s v="Mob Psycho 100"/>
        <s v="Gintama"/>
        <s v="Shooter"/>
        <s v="Last Tango in Halifax"/>
        <s v="Defiance"/>
        <s v="Roots"/>
        <s v="Invasion"/>
        <s v="Bored to Death"/>
        <s v="Pennyworth"/>
        <s v="Ghost Whisperer"/>
        <s v="The Closer"/>
        <s v="One Tree Hill"/>
        <s v="The Amazing World of Gumball"/>
        <s v="Raising Dion"/>
        <s v="Legacies"/>
        <s v="Better Than Us"/>
        <s v="Norsemen"/>
        <s v="Show Me a Hero"/>
        <s v="The Avengers"/>
        <s v="The Resident"/>
        <s v="The Goldbergs"/>
        <s v="Baby"/>
        <s v="How to Sell Drugs Online (Fast)"/>
        <s v="The Rain"/>
        <s v="Lois &amp; Clark: The New Adventures of Superman"/>
        <s v="Jeffrey Epstein: Filthy Rich"/>
        <s v="Letterkenny"/>
        <s v="MythBusters"/>
        <s v="ERASED"/>
        <s v="The Plot Against America"/>
        <s v="Eerie, Indiana"/>
        <s v="House of Lies"/>
        <s v="Scream Queens"/>
        <s v="Transparent"/>
        <s v="The Hour"/>
        <s v="Sports Night"/>
        <s v="I Love Lucy"/>
        <s v="Full House"/>
        <s v="Search Party"/>
        <s v="High School Musical: The Musical: The Series"/>
        <s v="Voltron: Legendary Defender"/>
        <s v="Anohana: The Flower We Saw That Day"/>
        <s v="Versailles"/>
        <s v="Black Clover"/>
        <s v="Dracula"/>
        <s v="Everything Sucks!"/>
        <s v="Green Wing"/>
        <s v="Fortitude"/>
        <s v="Whitechapel"/>
        <s v="Justice League"/>
        <s v="Five Came Back"/>
        <s v="Last Resort"/>
        <s v="The Daily Show with Trevor Noah"/>
        <s v="The Golden Girls"/>
        <s v="Dr. Stone"/>
        <s v="Survivor"/>
        <s v="InuYasha"/>
        <s v="Kipo and the Age of Wonderbeasts"/>
        <s v="High Maintenance"/>
        <s v="Make It or Break It"/>
        <s v="Miraculous: Tales of Ladybug &amp; Cat Noir"/>
        <s v="UnREAL"/>
        <s v="Quantico"/>
        <s v="In Treatment"/>
        <s v="High School DxD"/>
        <s v="QI"/>
        <s v="The Rockford Files"/>
        <s v="ZeroZeroZero"/>
        <s v="GHOUL"/>
        <s v="Review"/>
        <s v="Reaper"/>
        <s v="Kaguya-sama: Love is War"/>
        <s v="Alone"/>
        <s v="Merlí"/>
        <s v="Rise of Empires: Ottoman"/>
        <s v="Knight Rider"/>
        <s v="Bewitched"/>
        <s v="Hunters"/>
        <s v="Last Man Standing"/>
        <s v="Under the Dome"/>
        <s v="Blackadder"/>
        <s v="The Young Pope"/>
        <s v="The Bureau"/>
        <s v="Empire"/>
        <s v="Abstract: The Art of Design"/>
        <s v="Victoria"/>
        <s v="The Lying Game"/>
        <s v="Fear City: New York vs The Mafia"/>
        <s v="Ghost in the Shell: Stand Alone Complex"/>
        <s v="Dark Desire"/>
        <s v="The Tunnel"/>
        <s v="Harper's Island"/>
        <s v="This Country"/>
        <s v="A Discovery of Witches"/>
        <s v="Red Dwarf"/>
        <s v="Life"/>
        <s v="Smash"/>
        <s v="Documentary Now!"/>
        <s v="Carnivàle"/>
        <s v="Trailer Park Boys"/>
        <s v="RuPaul's Drag Race All Stars"/>
        <s v="Revolution"/>
        <s v="Corporate"/>
        <s v="Law &amp; Order"/>
        <s v="Parasyte -the maxim-"/>
        <s v="Frequency"/>
        <s v="ER"/>
        <s v="Medici: Masters of Florence"/>
        <s v="Absentia"/>
        <s v="Robot Chicken"/>
        <s v="NOS4A2"/>
        <s v="The Mechanism"/>
        <s v="Terriers"/>
        <s v="Banana Fish"/>
        <s v="Good Behavior"/>
        <s v="Glitch"/>
        <s v="Man Seeking Woman"/>
        <s v="Motherland: Fort Salem"/>
        <s v="Secret City"/>
        <s v="The New Edition Story"/>
        <s v="Roseanne"/>
        <s v="My Mad Fat Diary"/>
        <s v="Formula 1: Drive to Survive"/>
        <s v="Will &amp; Grace"/>
        <s v="Frontier"/>
        <s v="Casual"/>
        <s v="London Spy"/>
        <s v="Philip K. Dick's Electric Dreams"/>
        <s v="Alphas"/>
        <s v="Fire Force"/>
        <s v="The Baby-Sitters Club"/>
        <s v="Dallas"/>
        <s v="iCarly"/>
        <s v="Akame ga Kill!"/>
        <s v="Salem"/>
        <s v="The L Word"/>
        <s v="Sesame Street"/>
        <s v="Transformers: War for Cybertron"/>
        <s v="Ben 10"/>
        <s v="Spider-Man"/>
        <s v="Baskets"/>
        <s v="Yeh Meri Family"/>
        <s v="NewsRadio"/>
        <s v="BrainDead"/>
        <s v="NCIS: Los Angeles"/>
        <s v="Pretty Little Liars: The Perfectionists"/>
        <s v="Frank Herbert's Children of Dune"/>
        <s v="Mr. Show with Bob and David"/>
        <s v="Hemlock Grove"/>
        <s v="Sweet Magnolias"/>
        <s v="All in the Family"/>
        <s v="Underground"/>
        <s v="Alfred Hitchcock Presents"/>
        <s v="Royal Pains"/>
        <s v="Beauty and the Beast"/>
        <s v="Dickinson"/>
        <s v="Murder, She Wrote"/>
        <s v="Torchwood"/>
        <s v="Wolf Hall"/>
        <s v="Rake"/>
        <s v="Hatfields &amp; McCoys"/>
        <s v="Babylon 5"/>
        <s v="Who Is America?"/>
        <s v="Locked Up"/>
        <s v="Sliders"/>
        <s v="Legendary"/>
        <s v="Dark Side of the Ring"/>
        <s v="Doc Martin"/>
        <s v="Magnum, P.I."/>
        <s v="Salvation"/>
        <s v="Dexter's Laboratory"/>
        <s v="Everybody Loves Raymond"/>
        <s v="Yuri!!! on Ice"/>
        <s v="Outcast"/>
        <s v="The Transformers"/>
        <s v="Awake"/>
        <s v="McMillion$"/>
      </sharedItems>
    </cacheField>
    <cacheField name="Year Released" numFmtId="0">
      <sharedItems containsSemiMixedTypes="0" containsString="0" containsNumber="1" containsInteger="1" minValue="1940" maxValue="2020" count="57">
        <n v="2008"/>
        <n v="2011"/>
        <n v="2013"/>
        <n v="2016"/>
        <n v="2019"/>
        <n v="2017"/>
        <n v="2010"/>
        <n v="2014"/>
        <n v="2005"/>
        <n v="1994"/>
        <n v="2002"/>
        <n v="2015"/>
        <n v="2001"/>
        <n v="2004"/>
        <n v="2018"/>
        <n v="1989"/>
        <n v="1999"/>
        <n v="2006"/>
        <n v="1997"/>
        <n v="2009"/>
        <n v="2007"/>
        <n v="2020"/>
        <n v="1990"/>
        <n v="2012"/>
        <n v="2003"/>
        <n v="1993"/>
        <n v="2000"/>
        <n v="1992"/>
        <n v="1987"/>
        <n v="1995"/>
        <n v="1959"/>
        <n v="1966"/>
        <n v="1975"/>
        <n v="1969"/>
        <n v="1998"/>
        <n v="1971"/>
        <n v="1988"/>
        <n v="1986"/>
        <n v="1996"/>
        <n v="1964"/>
        <n v="1967"/>
        <n v="1982"/>
        <n v="1972"/>
        <n v="1991"/>
        <n v="1976"/>
        <n v="1940"/>
        <n v="1985"/>
        <n v="1963"/>
        <n v="1977"/>
        <n v="1961"/>
        <n v="1951"/>
        <n v="1974"/>
        <n v="1983"/>
        <n v="1978"/>
        <n v="1955"/>
        <n v="1984"/>
        <n v="1980"/>
      </sharedItems>
    </cacheField>
    <cacheField name="Content Rating" numFmtId="0">
      <sharedItems count="5">
        <s v="18+"/>
        <s v="16+"/>
        <s v="7+"/>
        <s v="all"/>
        <s v="N/A"/>
      </sharedItems>
    </cacheField>
    <cacheField name="IMDB Rating" numFmtId="0">
      <sharedItems containsSemiMixedTypes="0" containsString="0" containsNumber="1" minValue="5.8" maxValue="9.5"/>
    </cacheField>
    <cacheField name="R Rating" numFmtId="0">
      <sharedItems containsSemiMixedTypes="0" containsString="0" containsNumber="1" containsInteger="1" minValue="72" maxValue="100"/>
    </cacheField>
    <cacheField name="Genre" numFmtId="0">
      <sharedItems count="150">
        <s v="Crime,Drama"/>
        <s v="Action &amp; Adventure,Drama"/>
        <s v="Animation,Comedy"/>
        <s v="Drama,Fantasy"/>
        <s v="Action &amp; Adventure,Comedy"/>
        <s v="Drama,History"/>
        <s v="Action &amp; Adventure,Crime"/>
        <s v="Action &amp; Adventure,Animation"/>
        <s v="Comedy,Romance"/>
        <s v="Comedy,2005"/>
        <s v="Comedy,Crime"/>
        <s v="Action &amp; Adventure,Anime"/>
        <s v="Drama,Science-Fiction"/>
        <s v="Drama,Mystery"/>
        <s v="Fantasy,Crime"/>
        <s v="Thriller,Action &amp; Adventure"/>
        <s v="Drama,Thriller"/>
        <s v="Action &amp; Adventure,Science-Fiction"/>
        <s v="Drama,Horror"/>
        <s v="Comedy,LGBTQ"/>
        <s v="Comedy,2009"/>
        <s v="Drama,2007"/>
        <s v="Comedy,Drama"/>
        <s v="Drama,Comedy"/>
        <s v="Documentary,Biography"/>
        <s v="Comedy,Stand-up &amp; Talk"/>
        <s v="Horror,Drama"/>
        <s v="Drama,Action &amp; Adventure"/>
        <s v="Drama,Romance"/>
        <s v="Drama,Sport"/>
        <s v="Thriller,Biography"/>
        <s v="Science-Fiction,Animation"/>
        <s v="Comedy,2003"/>
        <s v="Action &amp; Adventure,Thriller"/>
        <s v="Thriller,LGBTQ"/>
        <s v="Comedy,2014"/>
        <s v="Drama,2018"/>
        <s v="Drama,LGBTQ"/>
        <s v="Drama,Crime"/>
        <s v="Action &amp; Adventure,Fantasy"/>
        <s v="Comedy,2000"/>
        <s v="Biography,Drama"/>
        <s v="Action &amp; Adventure,History"/>
        <s v="Horror,Thriller"/>
        <s v="Comedy,2006"/>
        <s v="Documentary,2016"/>
        <s v="Comedy,Fantasy"/>
        <s v="Drama,2016"/>
        <s v="Drama,1999"/>
        <s v="Animation,Science-Fiction"/>
        <s v="Fantasy,Science-Fiction"/>
        <s v="Comedy,2015"/>
        <s v="Comedy,2011"/>
        <s v="Thriller,Crime"/>
        <s v="Animation,Anime"/>
        <s v="Comedy,Family"/>
        <s v="Comedy,Musical"/>
        <s v="Mystery,Science-Fiction"/>
        <s v="Horror,Comedy"/>
        <s v="Comedy,Action &amp; Adventure"/>
        <s v="Documentary,Crime"/>
        <s v="Drama,2020"/>
        <s v="Comedy,Mystery"/>
        <s v="Documentary,2019"/>
        <s v="Animation,Children"/>
        <s v="Mystery,Comedy"/>
        <s v="Comedy,Horror"/>
        <s v="Comedy,1993"/>
        <s v="Comedy,2012"/>
        <s v="Mystery,Drama"/>
        <s v="Drama,2012"/>
        <s v="Science-Fiction,Action &amp; Adventure"/>
        <s v="Comedy,1975"/>
        <s v="Drama,2014"/>
        <s v="Animation,Action &amp; Adventure"/>
        <s v="Comedy,Travel"/>
        <s v="Drama,Family"/>
        <s v="Documentary,History"/>
        <s v="Documentary,2014"/>
        <s v="Action &amp; Adventure,Mystery"/>
        <s v="Reality,LGBTQ"/>
        <s v="Comedy,1969"/>
        <s v="Comedy,Animation"/>
        <s v="Comedy,Documentary"/>
        <s v="Comedy,Science-Fiction"/>
        <s v="Drama,2017"/>
        <s v="Drama,2010"/>
        <s v="Comedy,1995"/>
        <s v="Biography,Crime"/>
        <s v="Drama,Documentary"/>
        <s v="Fantasy,Horror"/>
        <s v="Documentary,Cult"/>
        <s v="Comedy,Sport"/>
        <s v="Comedy,2008"/>
        <s v="Drama,2013"/>
        <s v="Thriller,Drama"/>
        <s v="Comedy,2018"/>
        <s v="Fantasy,Action &amp; Adventure"/>
        <s v="Documentary,2017"/>
        <s v="Documentary,Comedy"/>
        <s v="Documentary,Food"/>
        <s v="Drama,Biography"/>
        <s v="Crime,Documentary"/>
        <s v="Documentary,2006"/>
        <s v="Comedy,2020"/>
        <s v="Crime,Cult"/>
        <s v="Reality,Drama"/>
        <s v="Documentary,2020"/>
        <s v="Crime,Mystery"/>
        <s v="Documentary,2018"/>
        <s v="Drama,2019"/>
        <s v="Documentary,Travel"/>
        <s v="Musical,Comedy"/>
        <s v="Documentary,Reality"/>
        <s v="Comedy,1992"/>
        <s v="Comedy,2019"/>
        <s v="Crime,Thriller"/>
        <s v="Comedy,2016"/>
        <s v="Comedy,1998"/>
        <s v="Drama,2003"/>
        <s v="Action &amp; Adventure,LGBTQ"/>
        <s v="Documentary,Sport"/>
        <s v="Drama,2015"/>
        <s v="Horror,Mystery"/>
        <s v="Biography,Comedy"/>
        <s v="Comedy,1987"/>
        <s v="Drama,Musical"/>
        <s v="Children,Comedy"/>
        <s v="Drama,2011"/>
        <s v="Comedy,2013"/>
        <s v="Children,Drama"/>
        <s v="Comedy,1996"/>
        <s v="Reality,Action &amp; Adventure"/>
        <s v="Animation,Romance"/>
        <s v="Drama,2008"/>
        <s v="Comedy,Game Show"/>
        <s v="Comedy,Anime"/>
        <s v="Documentary,Drama"/>
        <s v="Comedy,1983"/>
        <s v="Comedy,2017"/>
        <s v="Romance,Drama"/>
        <s v="History,Biography"/>
        <s v="Mystery,Thriller"/>
        <s v="Science-Fiction,Drama"/>
        <s v="Family,Comedy"/>
        <s v="Children,Animation"/>
        <s v="Family,Drama"/>
        <s v="Comedy,Biography"/>
        <s v="History,Drama"/>
        <s v="Game Show,LGBTQ"/>
      </sharedItems>
    </cacheField>
    <cacheField name="Description" numFmtId="0">
      <sharedItems longText="1"/>
    </cacheField>
    <cacheField name="No of Seasons" numFmtId="0">
      <sharedItems/>
    </cacheField>
    <cacheField name="Streaming Platform" numFmtId="0">
      <sharedItems containsBlank="1" count="180">
        <s v="Netflix"/>
        <s v="HBO MAX,HBO"/>
        <s v="Free Services,HBO MAX,Hulu"/>
        <s v="Prime Video"/>
        <s v="Hulu"/>
        <s v="Netflix,CBS All Access,Hoopla"/>
        <s v="HBO MAX,Hulu,TBS"/>
        <s v="Netflix,Comedy Central,fuboTV"/>
        <s v="Free Services,Netflix,TNT"/>
        <s v="Free Services,Netflix,Hulu"/>
        <s v="Free Services,Prime Video,NBC"/>
        <s v="Prime Video,USA,fuboTV"/>
        <s v="Free Services,Netflix,YouTube Premium"/>
        <s v="Free Services,Hulu,FX"/>
        <s v="Disney+"/>
        <s v="Prime Video,Hulu"/>
        <s v="Netflix,AMC,fuboTV"/>
        <s v="Free Services,Hulu"/>
        <s v="Free Services,Hulu,TBS"/>
        <s v="Free Services,Netflix,Showtime"/>
        <s v="Free Services,Netflix,Prime Video"/>
        <s v="Free Services,Netflix"/>
        <s v="Free Services"/>
        <s v="Netflix,Showtime,fuboTV"/>
        <s v="Free Services,Hulu,ABC"/>
        <s v="Free Services,Prime Video"/>
        <s v="Hulu,FX,Viceland"/>
        <s v="Netflix,Showtime,Hulu"/>
        <s v="Hulu,TBS,fuboTV"/>
        <s v="Free Services,Netflix,HBO MAX"/>
        <s v="Free Services,Prime Video,BritBox"/>
        <s v="Free Services,Showtime,fuboTV"/>
        <s v="Free Services,Netflix,fuboTV"/>
        <s v="Free Services,Hulu,Crunchyroll"/>
        <s v="Netflix,Starz"/>
        <s v="Hulu,Syfy,Comedy Central"/>
        <s v="Free Services,Netflix,CBS All Access"/>
        <s v="Hulu,FX,fuboTV"/>
        <s v="Free Services,Hulu,Disney+"/>
        <s v="Netflix,Hulu"/>
        <s v="Hulu,BBC America"/>
        <s v="Free Services,fuboTV,Peacock Premium"/>
        <s v="Free Services,Hulu,BBC America"/>
        <s v="Free Services,Hulu,NBC"/>
        <s v="HBO MAX,Prime Video,Starz"/>
        <s v="Prime Video,BBC America"/>
        <s v="DC Universe"/>
        <s v="HBO MAX,HBO,Prime Video"/>
        <s v="Hulu,Comedy Central"/>
        <s v="Netflix,Prime Video,Hulu"/>
        <s v="HBO MAX,Hulu,BritBox"/>
        <s v="BBC America"/>
        <s v="Apple TV+"/>
        <s v="Netflix,Hulu,CBS All Access"/>
        <s v="Netflix,TBS"/>
        <s v="Hulu,AcornTV,AMC"/>
        <s v="Free Services,Hulu,Starz"/>
        <s v="HBO MAX"/>
        <s v="Hulu,FX,FOX"/>
        <s v="HBO MAX,DC Universe"/>
        <s v="Free Services,Prime Video,Hulu"/>
        <s v="Netflix,USA,fuboTV"/>
        <s v="Free Services,CBS All Access,Comedy Central"/>
        <s v="Free Services,Hulu,Adult Swim"/>
        <s v="Prime Video,CBS All Access"/>
        <s v="HBO MAX,BBC America"/>
        <s v="Netflix,FOX"/>
        <s v="Prime Video,Hulu,TNT"/>
        <s v="Free Services,Hulu,CBS All Access"/>
        <s v="Hulu,Funimation"/>
        <s v="Prime Video,Hulu,AcornTV"/>
        <s v="Cinemax"/>
        <s v="Starz"/>
        <s v="HBO MAX,TNT,Hoopla"/>
        <s v="Free Services,Starz"/>
        <s v="Free Services,Hulu,Funimation"/>
        <s v="Free Services,Prime Video,Showtime"/>
        <s v="BritBox"/>
        <s v="Free Services,HBO MAX"/>
        <s v="Free Services,Prime Video,fuboTV"/>
        <m/>
        <s v="Netflix,Showtime"/>
        <s v="Netflix,Syfy,fuboTV"/>
        <s v="Netflix,Hoopla"/>
        <s v="Funimation"/>
        <s v="Prime Video,Hoopla"/>
        <s v="Free Services,Disney+,fuboTV"/>
        <s v="Free Services,fuboTV"/>
        <s v="Free Services,Hulu,Comedy Central"/>
        <s v="Netflix,fuboTV"/>
        <s v="HBO MAX,Prime Video,BritBox"/>
        <s v="Free Services,Prime Video,AcornTV"/>
        <s v="Free Services,Hulu,FOX"/>
        <s v="Free Services,Hoopla"/>
        <s v="Netflix,Comedy Central"/>
        <s v="Netflix,TNT"/>
        <s v="Prime Video,BritBox"/>
        <s v="CBS All Access"/>
        <s v="Free Services,YouTube Premium"/>
        <s v="Free Services,HBO MAX,Adult Swim"/>
        <s v="Hulu,TNT,Hoopla"/>
        <s v="Free Services,Hulu,fuboTV"/>
        <s v="Hulu,FOX"/>
        <s v="Netflix,AcornTV"/>
        <s v="Free Services,Netflix,Hoopla"/>
        <s v="Prime Video,Hulu,MTV"/>
        <s v="Prime Video,Starz"/>
        <s v="Free Services,DC Universe"/>
        <s v="Netflix,Prime Video"/>
        <s v="Free Services,HBO MAX,fuboTV"/>
        <s v="Free Services,Hulu,TVLand"/>
        <s v="HBO MAX,Prime Video,BBC America"/>
        <s v="Netflix,USA"/>
        <s v="Hulu,fuboTV"/>
        <s v="Prime Video,CBS All Access,Nick"/>
        <s v="IFC,TVLand,fuboTV"/>
        <s v="Hulu,Disney+"/>
        <s v="Hulu,Hoopla"/>
        <s v="Prime Video,Showtime,fuboTV"/>
        <s v="Netflix,Hulu,Funimation"/>
        <s v="Free Services,HBO"/>
        <s v="Netflix,Prime Video,fuboTV"/>
        <s v="TBS,Adult Swim"/>
        <s v="AcornTV"/>
        <s v="Hoopla"/>
        <s v="Free Services,Peacock Premium"/>
        <s v="Free Services,AMC Premiere"/>
        <s v="Free Services,HBO MAX,Prime Video"/>
        <s v="Prime Video,TNT"/>
        <s v="Free Services,Syfy,fuboTV"/>
        <s v="Free Services,Adult Swim"/>
        <s v="Hulu,TVLand"/>
        <s v="Hulu,AcornTV,BritBox"/>
        <s v="Hulu,BritBox,Hoopla"/>
        <s v="HBO MAX,BritBox"/>
        <s v="Netflix,IFC,fuboTV"/>
        <s v="Free Services,CBS All Access"/>
        <s v="AcornTV,BritBox,Hoopla"/>
        <s v="BritBox,Hoopla"/>
        <s v="AcornTV,Hoopla"/>
        <s v="TBS,Peacock Premium"/>
        <s v="Hulu,IFC,AMC"/>
        <s v="HBO MAX,Hulu,Cartoon Network"/>
        <s v="Netflix,Funimation"/>
        <s v="Free Services,Adult Swim,fuboTV"/>
        <s v="Free Services,Prime Video,CBS All Access"/>
        <s v="Prime Video,Cinemax"/>
        <s v="Showtime,fuboTV"/>
        <s v="Free Services,AcornTV,BritBox"/>
        <s v="Free Services,HBO MAX,CBS All Access"/>
        <s v="Epix"/>
        <s v="Free Services,HBO MAX,Crunchyroll"/>
        <s v="Hulu,Science"/>
        <s v="Free Services,AcornTV"/>
        <s v="HBO MAX,Hoopla"/>
        <s v="Free Services,Netflix,Funimation"/>
        <s v="HBO MAX,Hulu,Hoopla"/>
        <s v="Free Services,Funimation"/>
        <s v="Prime Video,Hulu,CBS All Access"/>
        <s v="Free Services,Comedy Central"/>
        <s v="Free Services,Hulu,History"/>
        <s v="Prime Video,Hulu,BritBox"/>
        <s v="Hulu,FOX,Hoopla"/>
        <s v="Free Services,Starz,Hoopla"/>
        <s v="Shudder,AMC Premiere"/>
        <s v="Hulu,CBS All Access,VH1"/>
        <s v="Free Services,Comedy Central,fuboTV"/>
        <s v="Sundance,TNT,fuboTV"/>
        <s v="Hulu,BBC America,AMC"/>
        <s v="BET"/>
        <s v="Free Services,Hulu,Hoopla"/>
        <s v="Free Services,Nick,Hoopla"/>
        <s v="Free Services,HBO MAX,HBO"/>
        <s v="HBO MAX,Hulu"/>
        <s v="Free Services,CBS All Access,USA"/>
        <s v="Netflix,Prime Video,CBS All Access"/>
        <s v="Hulu,Viceland"/>
        <s v="Free Services,Hulu,AcornTV"/>
        <s v="TVLand,Peacock Premium"/>
        <s v="Free Services,Prime Video,Starz"/>
      </sharedItems>
    </cacheField>
  </cacheFields>
  <extLst>
    <ext xmlns:x14="http://schemas.microsoft.com/office/spreadsheetml/2009/9/main" uri="{725AE2AE-9491-48be-B2B4-4EB974FC3084}">
      <x14:pivotCacheDefinition pivotCacheId="5251701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shna Dutta" refreshedDate="46006.836975694445" createdVersion="7" refreshedVersion="7" minRefreshableVersion="3" recordCount="199" xr:uid="{A634C99B-81FA-4C3F-97D3-66D672DD7D41}">
  <cacheSource type="worksheet">
    <worksheetSource ref="A1:I200" sheet="All_Streaming_Shows"/>
  </cacheSource>
  <cacheFields count="11">
    <cacheField name="Series Title" numFmtId="0">
      <sharedItems containsMixedTypes="1" containsNumber="1" containsInteger="1" minValue="24" maxValue="24" count="197">
        <s v="Breaking Bad"/>
        <s v="Game of Thrones"/>
        <s v="Rick and Morty"/>
        <s v="Stranger Things"/>
        <s v="The Boys"/>
        <s v="Dark"/>
        <s v="Chernobyl"/>
        <s v="Sherlock"/>
        <s v="Fargo"/>
        <s v="Avatar: The Last Airbender"/>
        <s v="Friends"/>
        <s v="The Office"/>
        <s v="Supernatural"/>
        <s v="The Wire"/>
        <s v="Better Call Saul"/>
        <s v="Attack on Titan"/>
        <s v="Black Mirror"/>
        <s v="Band of Brothers"/>
        <s v="House"/>
        <s v="Lucifer"/>
        <s v="Money Heist"/>
        <s v="Mr. Robot"/>
        <s v="Peaky Blinders"/>
        <s v="Cobra Kai"/>
        <s v="The Simpsons"/>
        <s v="The Mandalorian"/>
        <s v="The Sopranos"/>
        <s v="The Umbrella Academy"/>
        <s v="Vikings"/>
        <s v="The Walking Dead"/>
        <s v="Lost"/>
        <s v="Brooklyn Nine-Nine"/>
        <s v="Sex Education"/>
        <s v="Mindhunter"/>
        <s v="Dexter"/>
        <s v="Narcos"/>
        <s v="Westworld"/>
        <s v="True Detective"/>
        <s v="South Park"/>
        <s v="Parks and Recreation"/>
        <s v="Mad Men"/>
        <s v="Marvel's Daredevil"/>
        <s v="Firefly"/>
        <s v="Fringe"/>
        <s v="Shameless"/>
        <s v="The Big Bang Theory"/>
        <s v="Modern Family"/>
        <s v="Suits"/>
        <s v="The Last Dance"/>
        <s v="Community"/>
        <s v="It's Always Sunny in Philadelphia"/>
        <s v="Twin Peaks"/>
        <s v="Hannibal"/>
        <s v="Ozark"/>
        <s v="Seinfeld"/>
        <s v="The Haunting"/>
        <s v="Fullmetal Alchemist: Brotherhood"/>
        <s v="The Witcher"/>
        <s v="The Fall"/>
        <s v="Homeland"/>
        <s v="The 100"/>
        <s v="How I Met Your Mother"/>
        <s v="The Good Place"/>
        <s v="The Expanse"/>
        <s v="Grey's Anatomy"/>
        <s v="My Hero Academia"/>
        <s v="House of Cards"/>
        <s v="The Handmaid's Tale"/>
        <s v="Marvel's Agents of S.H.I.E.L.D."/>
        <s v="Fleabag"/>
        <s v="The Crown"/>
        <s v="Outlander"/>
        <s v="When They See Us"/>
        <s v="Futurama"/>
        <s v="Sons of Anarchy"/>
        <s v="The Vampire Diaries"/>
        <s v="Prison Break"/>
        <s v="The Legend of Korra"/>
        <s v="Archer"/>
        <s v="Gravity Falls"/>
        <s v="Arrested Development"/>
        <s v="The Blacklist"/>
        <s v="Killing Eve"/>
        <s v="Last Week Tonight with John Oliver"/>
        <s v="Sacred Games"/>
        <s v="Orange Is the New Black"/>
        <s v="Yellowstone"/>
        <s v="Silicon Valley"/>
        <s v="Euphoria"/>
        <s v="The X-Files"/>
        <s v="The Flash"/>
        <s v="Justified"/>
        <s v="The Americans"/>
        <s v="This Is Us"/>
        <s v="Adventure Time"/>
        <s v="BoJack Horseman"/>
        <s v="The Marvelous Mrs. Maisel"/>
        <s v="The End of the F***ing World"/>
        <s v="Big Little Lies"/>
        <s v="Luther"/>
        <s v="Curb Your Enthusiasm"/>
        <s v="American Crime Story"/>
        <s v="Unbelievable"/>
        <s v="Boardwalk Empire"/>
        <s v="Orphan Black"/>
        <s v="The Last Kingdom"/>
        <s v="Rome"/>
        <s v="Batman: The Animated Series"/>
        <s v="Sense8"/>
        <s v="Six Feet Under"/>
        <s v="Penny Dreadful"/>
        <s v="Normal People"/>
        <s v="Scrubs"/>
        <s v="The IT Crowd"/>
        <s v="Once Upon a Time"/>
        <s v="Star Trek: The Next Generation"/>
        <s v="Broadchurch"/>
        <s v="Pride and Prejudice"/>
        <s v="Arrow"/>
        <s v="Chuck"/>
        <s v="Planet Earth II"/>
        <n v="24"/>
        <s v="What We Do in the Shadows"/>
        <s v="The Night Of"/>
        <s v="Buffy the Vampire Slayer"/>
        <s v="White Collar"/>
        <s v="Billions"/>
        <s v="The West Wing"/>
        <s v="Love, Death &amp; Robots"/>
        <s v="Legion"/>
        <s v="Ted Lasso"/>
        <s v="Psych"/>
        <s v="Marvel's Jessica Jones"/>
        <s v="Kingdom"/>
        <s v="The Twilight Zone"/>
        <s v="How to Get Away with Murder"/>
        <s v="Schitt's Creek"/>
        <s v="New Girl"/>
        <s v="The Shield"/>
        <s v="Line of Duty"/>
        <s v="Bodyguard"/>
        <s v="YOU"/>
        <s v="Friday Night Lights"/>
        <s v="Succession"/>
        <s v="Bosch"/>
        <s v="Deadwood"/>
        <s v="Pretty Little Liars"/>
        <s v="Raised by Wolves"/>
        <s v="Watchmen"/>
        <s v="Death Note"/>
        <s v="Atlanta"/>
        <s v="Bates Motel"/>
        <s v="Marvel's The Punisher"/>
        <s v="The Leftovers"/>
        <s v="Doom Patrol"/>
        <s v="Mr. Bean"/>
        <s v="The Sinner"/>
        <s v="30 Rock"/>
        <s v="The Man in the High Castle"/>
        <s v="Chappelle's Show"/>
        <s v="Elementary"/>
        <s v="Bob's Burgers"/>
        <s v="Naruto Shippūden"/>
        <s v="Dead to Me"/>
        <s v="Misfits"/>
        <s v="Altered Carbon"/>
        <s v="Good Girls"/>
        <s v="Teen Wolf"/>
        <s v="Good Omens"/>
        <s v="Master of None"/>
        <s v="Barry"/>
        <s v="Tom Clancy's Jack Ryan"/>
        <s v="The Pacific"/>
        <s v="Making a Murderer"/>
        <s v="Unorthodox"/>
        <s v="The Good Wife"/>
        <s v="Taboo"/>
        <s v="Lovecraft Country"/>
        <s v="Upload"/>
        <s v="Elite"/>
        <s v="Doctor Who"/>
        <s v="Our Planet"/>
        <s v="Star Wars: The Clone Wars"/>
        <s v="American Horror Story"/>
        <s v="One Piece"/>
        <s v="Castle"/>
        <s v="11.22.63"/>
        <s v="Gotham"/>
        <s v="Pushing Daisies"/>
        <s v="The Night Manager"/>
        <s v="Grimm"/>
        <s v="Hunter x Hunter"/>
        <s v="Bones"/>
        <s v="Ash vs Evil Dead"/>
        <s v="Frasier"/>
        <s v="The Morning Show"/>
        <s v="Russian Doll"/>
      </sharedItems>
    </cacheField>
    <cacheField name="Year Released" numFmtId="0">
      <sharedItems containsSemiMixedTypes="0" containsString="0" containsNumber="1" containsInteger="1" minValue="1959" maxValue="2020"/>
    </cacheField>
    <cacheField name="Content Rating" numFmtId="0">
      <sharedItems count="4">
        <s v="18+"/>
        <s v="16+"/>
        <s v="7+"/>
        <s v="all"/>
      </sharedItems>
    </cacheField>
    <cacheField name="IMDB Rating" numFmtId="0">
      <sharedItems containsSemiMixedTypes="0" containsString="0" containsNumber="1" minValue="7.3" maxValue="9.5"/>
    </cacheField>
    <cacheField name="R Rating" numFmtId="0">
      <sharedItems containsSemiMixedTypes="0" containsString="0" containsNumber="1" containsInteger="1" minValue="83" maxValue="100"/>
    </cacheField>
    <cacheField name="Genre" numFmtId="0">
      <sharedItems count="68">
        <s v="Crime,Drama"/>
        <s v="Action &amp; Adventure,Drama"/>
        <s v="Animation,Comedy"/>
        <s v="Drama,Fantasy"/>
        <s v="Action &amp; Adventure,Comedy"/>
        <s v="Drama,History"/>
        <s v="Action &amp; Adventure,Crime"/>
        <s v="Action &amp; Adventure,Animation"/>
        <s v="Comedy,Romance"/>
        <s v="Comedy,2005"/>
        <s v="Comedy,Crime"/>
        <s v="Action &amp; Adventure,Anime"/>
        <s v="Drama,Science-Fiction"/>
        <s v="Drama,Mystery"/>
        <s v="Fantasy,Crime"/>
        <s v="Thriller,Action &amp; Adventure"/>
        <s v="Drama,Thriller"/>
        <s v="Action &amp; Adventure,Science-Fiction"/>
        <s v="Drama,Horror"/>
        <s v="Comedy,LGBTQ"/>
        <s v="Comedy,2009"/>
        <s v="Drama,2007"/>
        <s v="Comedy,Drama"/>
        <s v="Drama,Comedy"/>
        <s v="Documentary,Biography"/>
        <s v="Comedy,Stand-up &amp; Talk"/>
        <s v="Horror,Drama"/>
        <s v="Drama,Action &amp; Adventure"/>
        <s v="Drama,Romance"/>
        <s v="Drama,Sport"/>
        <s v="Thriller,Biography"/>
        <s v="Science-Fiction,Animation"/>
        <s v="Comedy,2003"/>
        <s v="Action &amp; Adventure,Thriller"/>
        <s v="Thriller,LGBTQ"/>
        <s v="Comedy,2014"/>
        <s v="Drama,2018"/>
        <s v="Drama,LGBTQ"/>
        <s v="Drama,Crime"/>
        <s v="Action &amp; Adventure,Fantasy"/>
        <s v="Comedy,2000"/>
        <s v="Biography,Drama"/>
        <s v="Action &amp; Adventure,History"/>
        <s v="Horror,Thriller"/>
        <s v="Comedy,2006"/>
        <s v="Documentary,2016"/>
        <s v="Comedy,Fantasy"/>
        <s v="Drama,2016"/>
        <s v="Drama,1999"/>
        <s v="Animation,Science-Fiction"/>
        <s v="Fantasy,Science-Fiction"/>
        <s v="Comedy,2015"/>
        <s v="Comedy,2011"/>
        <s v="Thriller,Crime"/>
        <s v="Animation,Anime"/>
        <s v="Comedy,Family"/>
        <s v="Comedy,Musical"/>
        <s v="Mystery,Science-Fiction"/>
        <s v="Horror,Comedy"/>
        <s v="Comedy,Action &amp; Adventure"/>
        <s v="Documentary,Crime"/>
        <s v="Drama,2020"/>
        <s v="Comedy,Mystery"/>
        <s v="Documentary,2019"/>
        <s v="Animation,Children"/>
        <s v="Mystery,Comedy"/>
        <s v="Comedy,Horror"/>
        <s v="Comedy,1993"/>
      </sharedItems>
      <fieldGroup par="10"/>
    </cacheField>
    <cacheField name="Description" numFmtId="0">
      <sharedItems longText="1"/>
    </cacheField>
    <cacheField name="No of Seasons" numFmtId="0">
      <sharedItems/>
    </cacheField>
    <cacheField name="Streaming Platform" numFmtId="0">
      <sharedItems count="69">
        <s v="Netflix"/>
        <s v="HBO MAX,HBO"/>
        <s v="Free Services,HBO MAX,Hulu"/>
        <s v="Prime Video"/>
        <s v="Hulu"/>
        <s v="Netflix,CBS All Access,Hoopla"/>
        <s v="HBO MAX,Hulu,TBS"/>
        <s v="Netflix,Comedy Central,fuboTV"/>
        <s v="Free Services,Netflix,TNT"/>
        <s v="Free Services,Netflix,Hulu"/>
        <s v="Free Services,Prime Video,NBC"/>
        <s v="Prime Video,USA,fuboTV"/>
        <s v="Free Services,Netflix,YouTube Premium"/>
        <s v="Free Services,Hulu,FX"/>
        <s v="Disney+"/>
        <s v="Prime Video,Hulu"/>
        <s v="Netflix,AMC,fuboTV"/>
        <s v="Free Services,Hulu"/>
        <s v="Free Services,Hulu,TBS"/>
        <s v="Free Services,Netflix,Showtime"/>
        <s v="Free Services,Netflix,Prime Video"/>
        <s v="Free Services,Netflix"/>
        <s v="Free Services"/>
        <s v="Netflix,Showtime,fuboTV"/>
        <s v="Free Services,Hulu,ABC"/>
        <s v="Free Services,Prime Video"/>
        <s v="Hulu,FX,Viceland"/>
        <s v="Netflix,Showtime,Hulu"/>
        <s v="Hulu,TBS,fuboTV"/>
        <s v="Free Services,Netflix,HBO MAX"/>
        <s v="Free Services,Prime Video,BritBox"/>
        <s v="Free Services,Showtime,fuboTV"/>
        <s v="Free Services,Netflix,fuboTV"/>
        <s v="Free Services,Hulu,Crunchyroll"/>
        <s v="Netflix,Starz"/>
        <s v="Hulu,Syfy,Comedy Central"/>
        <s v="Free Services,Netflix,CBS All Access"/>
        <s v="Hulu,FX,fuboTV"/>
        <s v="Free Services,Hulu,Disney+"/>
        <s v="Netflix,Hulu"/>
        <s v="Hulu,BBC America"/>
        <s v="Free Services,fuboTV,Peacock Premium"/>
        <s v="Free Services,Hulu,BBC America"/>
        <s v="Free Services,Hulu,NBC"/>
        <s v="HBO MAX,Prime Video,Starz"/>
        <s v="Prime Video,BBC America"/>
        <s v="DC Universe"/>
        <s v="HBO MAX,HBO,Prime Video"/>
        <s v="Hulu,Comedy Central"/>
        <s v="Netflix,Prime Video,Hulu"/>
        <s v="HBO MAX,Hulu,BritBox"/>
        <s v="BBC America"/>
        <s v="Apple TV+"/>
        <s v="Netflix,Hulu,CBS All Access"/>
        <s v="Netflix,TBS"/>
        <s v="Hulu,AcornTV,AMC"/>
        <s v="Free Services,Hulu,Starz"/>
        <s v="HBO MAX"/>
        <s v="Hulu,FX,FOX"/>
        <s v="HBO MAX,DC Universe"/>
        <s v="Free Services,Prime Video,Hulu"/>
        <s v="Netflix,USA,fuboTV"/>
        <s v="Free Services,CBS All Access,Comedy Central"/>
        <s v="Free Services,Hulu,Adult Swim"/>
        <s v="Prime Video,CBS All Access"/>
        <s v="HBO MAX,BBC America"/>
        <s v="Netflix,FOX"/>
        <s v="Prime Video,Hulu,TNT"/>
        <s v="Free Services,Hulu,CBS All Access"/>
      </sharedItems>
      <fieldGroup par="9"/>
    </cacheField>
    <cacheField name="Streaming Platform2" numFmtId="0" databaseField="0">
      <fieldGroup base="8">
        <discretePr count="69">
          <x v="3"/>
          <x v="2"/>
          <x v="4"/>
          <x v="0"/>
          <x v="1"/>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discretePr>
        <groupItems count="5">
          <s v="Prime Video"/>
          <s v="Hulu"/>
          <s v="HBO MAX,HBO"/>
          <s v="Netflix"/>
          <s v="Group1"/>
        </groupItems>
      </fieldGroup>
    </cacheField>
    <cacheField name="Genre2" numFmtId="0" databaseField="0">
      <fieldGroup base="5">
        <discretePr count="68">
          <x v="0"/>
          <x v="1"/>
          <x v="2"/>
          <x v="4"/>
          <x v="1"/>
          <x v="4"/>
          <x v="1"/>
          <x v="1"/>
          <x v="3"/>
          <x v="3"/>
          <x v="3"/>
          <x v="1"/>
          <x v="4"/>
          <x v="4"/>
          <x v="6"/>
          <x v="5"/>
          <x v="4"/>
          <x v="1"/>
          <x v="4"/>
          <x v="3"/>
          <x v="3"/>
          <x v="4"/>
          <x v="3"/>
          <x v="4"/>
          <x v="6"/>
          <x v="3"/>
          <x v="5"/>
          <x v="4"/>
          <x v="4"/>
          <x v="4"/>
          <x v="5"/>
          <x v="6"/>
          <x v="3"/>
          <x v="1"/>
          <x v="5"/>
          <x v="3"/>
          <x v="4"/>
          <x v="4"/>
          <x v="4"/>
          <x v="1"/>
          <x v="3"/>
          <x v="6"/>
          <x v="1"/>
          <x v="5"/>
          <x v="3"/>
          <x v="6"/>
          <x v="3"/>
          <x v="4"/>
          <x v="4"/>
          <x v="2"/>
          <x v="6"/>
          <x v="3"/>
          <x v="3"/>
          <x v="5"/>
          <x v="2"/>
          <x v="3"/>
          <x v="3"/>
          <x v="6"/>
          <x v="5"/>
          <x v="3"/>
          <x v="6"/>
          <x v="4"/>
          <x v="3"/>
          <x v="6"/>
          <x v="2"/>
          <x v="6"/>
          <x v="3"/>
          <x v="3"/>
        </discretePr>
        <groupItems count="7">
          <s v="Crime,Drama"/>
          <s v="Group1"/>
          <s v="Group2"/>
          <s v="Group3"/>
          <s v="Group4"/>
          <s v="Group5"/>
          <s v="Group6"/>
        </groupItems>
      </fieldGroup>
    </cacheField>
  </cacheFields>
  <extLst>
    <ext xmlns:x14="http://schemas.microsoft.com/office/spreadsheetml/2009/9/main" uri="{725AE2AE-9491-48be-B2B4-4EB974FC3084}">
      <x14:pivotCacheDefinition pivotCacheId="702980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9">
  <r>
    <x v="0"/>
    <x v="0"/>
    <x v="0"/>
    <n v="9.5"/>
    <n v="100"/>
    <x v="0"/>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Breaking Bad featuring Bryan Cranston and Aaron Paul has one or more episodes streaming with subscription on Netflix, available for purchase on iTunes, available for purchase on Google Play, and 3 others. It's a crime and drama show with 62 episodes over 5 seasons. Breaking Bad is no longer running and has no plans to air new episodes or seasons. It has a very high IMDb audience rating of 9.5 (1,391,409 votes) and was very well received by critics."/>
    <s v="5Seasons"/>
    <x v="0"/>
  </r>
  <r>
    <x v="1"/>
    <x v="1"/>
    <x v="0"/>
    <n v="9.3000000000000007"/>
    <n v="99"/>
    <x v="1"/>
    <s v="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Game of Thrones featuring Emilia Clarke and Lena Headey has one or more episodes streaming with subscription on HBO MAX, streaming on HBO, available for purchase on iTunes, and 5 others. It's an action &amp; adventure and drama show with 74 episodes over 8 seasons. Game of Thrones is no longer running and has no plans to air new episodes or seasons. It has a very high IMDb audience rating of 9.3 (1,704,731 votes) and was very well received by critics."/>
    <s v="8Seasons"/>
    <x v="1"/>
  </r>
  <r>
    <x v="2"/>
    <x v="2"/>
    <x v="0"/>
    <n v="9.1999999999999993"/>
    <n v="97"/>
    <x v="2"/>
    <s v="Rick is a mentally-unbalanced but scientifically-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Rick and Morty featuring Justin Roiland and Chris Parnell has one or more episodes streaming with subscription on HBO MAX, streaming with subscription on Hulu, streaming via tv everywhere with Adult Swim (Via Cable/Satellite Provider), and 8 others. It's an action &amp; adventure and animation show with 42 episodes over 4 seasons. Rick and Morty is still airing with no announced date for the next episode or season. It has a very high IMDb audience rating of 9.2 (354,057 votes) and was very well received by critics."/>
    <s v="4Seasons"/>
    <x v="2"/>
  </r>
  <r>
    <x v="3"/>
    <x v="3"/>
    <x v="1"/>
    <n v="8.8000000000000007"/>
    <n v="96"/>
    <x v="3"/>
    <s v="When a young boy vanishes, a small town uncovers a mystery involving secret experiments, terrifying supernatural forces, and one strange little girl.Stranger Things featuring Winona Ryder and David Harbour has one or more episodes streaming with subscription on Netflix. It's an action &amp; adventure and drama show with 25 episodes over 3 seasons. Stranger Things is still airing with no announced date for the next episode or season. It has a high IMDb audience rating of 8.8 (766,806 votes) and was very well received by critics."/>
    <s v="3Seasons"/>
    <x v="0"/>
  </r>
  <r>
    <x v="4"/>
    <x v="4"/>
    <x v="0"/>
    <n v="8.6999999999999993"/>
    <n v="95"/>
    <x v="4"/>
    <s v="A group of vigilantes known informally as “The Boys” set out to take down corrupt superheroes with no more than blue-collar grit and a willingness to fight dirty.The Boys featuring Karl Urban and Jack Quaid has one or more episodes streaming with subscription on Prime Video, and available for purchase on VUDU. It's an action &amp; adventure and comedy show with 12 episodes over 2 seasons. The Boys has a new episode airing on September 17th, 2020 (PDT). It has a high IMDb audience rating of 8.7 (170,705 votes) and was very well received by critics."/>
    <s v="2Seasons"/>
    <x v="3"/>
  </r>
  <r>
    <x v="5"/>
    <x v="5"/>
    <x v="1"/>
    <n v="8.8000000000000007"/>
    <n v="95"/>
    <x v="0"/>
    <s v="A missing child causes four families to help each other for answers. What they could not imagine is that this mystery would be connected to innumerable other secrets of the small town.Dark has one or more episodes streaming with subscription on Netflix. It's a crime and drama show with 26 episodes over 3 seasons. Dark is no longer running and has no plans to air new episodes or seasons. It has a high IMDb audience rating of 8.8 (249,219 votes) and was very well received by critics."/>
    <s v="3Seasons"/>
    <x v="0"/>
  </r>
  <r>
    <x v="6"/>
    <x v="4"/>
    <x v="0"/>
    <n v="9.4"/>
    <n v="95"/>
    <x v="5"/>
    <s v="The true story of one of the worst man-made catastrophes in history: the catastrophic nuclear accident at Chernobyl. A tale of the brave men and women who sacrificed to save Europe from unimaginable disaster.Chernobyl featuring Jared Harris and Stellan Skarsgård has one or more episodes streaming with subscription on HBO MAX, streaming on HBO, available for purchase on Google Play, and 2 others. It's a drama and history show with 5 episodes over 1 season. Chernobyl is no longer running and has no plans to air new episodes or seasons. It has a very high IMDb audience rating of 9.4 (494,136 votes) and was very well received by critics."/>
    <s v="1Season"/>
    <x v="1"/>
  </r>
  <r>
    <x v="7"/>
    <x v="6"/>
    <x v="1"/>
    <n v="9.1"/>
    <n v="94"/>
    <x v="6"/>
    <s v="A modern update finds the famous sleuth and his doctor partner solving crime in 21st century London.Sherlock featuring Benedict Cumberbatch and Martin Freeman has one or more episodes streaming with subscription on Netflix, available for purchase on iTunes, available for purchase on Google Play, and 3 others. It's an action &amp; adventure and crime show with 13 episodes over 4 seasons. Sherlock is no longer running and has no plans to air new episodes or seasons. It has a very high IMDb audience rating of 9.1 (778,486 votes) and was well received by critics."/>
    <s v="4Seasons"/>
    <x v="0"/>
  </r>
  <r>
    <x v="8"/>
    <x v="7"/>
    <x v="0"/>
    <n v="8.9"/>
    <n v="94"/>
    <x v="0"/>
    <s v="A close-knit anthology series dealing with stories involving malice, violence and murder based in and around Minnesota.Fargo featuring Ewan McGregor and Michael Stuhlbarg has one or more episodes streaming with subscription on Hulu, available for purchase on iTunes, available for purchase on Google Play, and 3 others. It's a comedy and crime show with 30 episodes over 3 seasons. Fargo is still airing with no announced date for the next episode or season. It has a high IMDb audience rating of 8.9 (309,584 votes) and was very well received by critics."/>
    <s v="3Seasons"/>
    <x v="4"/>
  </r>
  <r>
    <x v="9"/>
    <x v="8"/>
    <x v="2"/>
    <n v="9.1999999999999993"/>
    <n v="94"/>
    <x v="7"/>
    <s v="In a war-torn world of elemental magic, a young boy reawakens to undertake a dangerous mystic quest to fulfill his destiny as the Avatar, and bring peace to the world.Avatar: The Last Airbender featuring Olivia Hack and Jennie Kwan has one or more episodes streaming with subscription on Netflix, streaming on CBS All Access, streaming with subscription on Hoopla, and 6 others. It's an action &amp; adventure and animation show with 66 episodes over 3 seasons. Avatar: The Last Airbender is no longer running and has no plans to air new episodes or seasons. It has a very high IMDb audience rating of 9.2 (232,305 votes) and was very well received by critics."/>
    <s v="3Seasons"/>
    <x v="5"/>
  </r>
  <r>
    <x v="10"/>
    <x v="9"/>
    <x v="1"/>
    <n v="8.9"/>
    <n v="94"/>
    <x v="8"/>
    <s v="The misadventures of a group of friends as they navigate the pitfalls of work, life and love in Manhattan.Friends featuring Matthew Perry and Matt LeBlanc has one or more episodes streaming with subscription on HBO MAX, streaming with subscription on Hulu, streaming via tv everywhere with TBS, and 6 others. It's a comedy and drama show with 238 episodes over 10 seasons. Friends is no longer running and has no plans to air new episodes or seasons. It has a high IMDb audience rating of 8.9 (785,332 votes) and was well received by critics."/>
    <s v="10Seasons"/>
    <x v="6"/>
  </r>
  <r>
    <x v="11"/>
    <x v="8"/>
    <x v="1"/>
    <n v="8.9"/>
    <n v="93"/>
    <x v="9"/>
    <s v="The everyday lives of office employees in the Scranton, Pennsylvania branch of the fictional Dunder Mifflin Paper Company.The Office featuring Rainn Wilson and Jenna Fischer has one or more episodes streaming with subscription on Netflix, streaming via tv everywhere with Comedy Central (Via Cable/Satellite Provider), streaming with subscription on fuboTV, and 3 others. It's a comedy show with 224 episodes over 9 seasons. The Office is no longer running and has no plans to air new episodes or seasons. It has a high IMDb audience rating of 8.9 (378,896 votes) and was well received by critics."/>
    <s v="9Seasons"/>
    <x v="7"/>
  </r>
  <r>
    <x v="12"/>
    <x v="8"/>
    <x v="1"/>
    <n v="8.4"/>
    <n v="93"/>
    <x v="3"/>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Supernatural featuring Jensen Ackles and Jared Padalecki has one or more episodes streaming with subscription on Netflix, streaming via tv everywhere with TNT, free on The CW, and 6 others. It's a drama and fantasy show with 322 episodes over 15 seasons. Supernatural has a new episode airing on October 8th, 2020 (PDT). It has a high IMDb audience rating of 8.4 (378,738 votes) and was very well received by critics."/>
    <s v="15 Seasons"/>
    <x v="8"/>
  </r>
  <r>
    <x v="13"/>
    <x v="10"/>
    <x v="0"/>
    <n v="9.3000000000000007"/>
    <n v="93"/>
    <x v="0"/>
    <s v="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he Wire featuring Dominic West and Lance Reddick has one or more episodes streaming with subscription on HBO MAX, streaming on HBO, available for purchase on iTunes, and 5 others. It's a crime and drama show with 60 episodes over 5 seasons. The Wire is no longer running and has no plans to air new episodes or seasons. It has a very high IMDb audience rating of 9.3 (274,706 votes) and was very well received by critics."/>
    <s v="5Seasons"/>
    <x v="1"/>
  </r>
  <r>
    <x v="14"/>
    <x v="11"/>
    <x v="0"/>
    <n v="8.6999999999999993"/>
    <n v="92"/>
    <x v="10"/>
    <s v="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quot;.Better Call Saul featuring Bob Odenkirk and Jonathan Banks has one or more episodes streaming with subscription on Netflix, available for purchase on iTunes, available for purchase on Google Play, and 3 others. It's a comedy and crime show with 50 episodes over 5 seasons. Better Call Saul is still airing with no announced date for the next episode or season. It has a high IMDb audience rating of 8.7 (305,414 votes) and was very well received by critics."/>
    <s v="5Seasons"/>
    <x v="0"/>
  </r>
  <r>
    <x v="15"/>
    <x v="2"/>
    <x v="0"/>
    <n v="8.8000000000000007"/>
    <n v="92"/>
    <x v="11"/>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Attack on Titan featuring Yuki Kaji and Marina Inoue has one or more episodes streaming with subscription on Netflix, streaming with subscription on Hulu, streaming with subscription on Crunchyroll, and 10 others. It's an action &amp; adventure and animation show with 60 episodes over 3 seasons. Attack on Titan is still airing with no announced date for the next episode or season. It has a high IMDb audience rating of 8.8 (146,875 votes) and was very well received by critics."/>
    <s v="3Seasons"/>
    <x v="9"/>
  </r>
  <r>
    <x v="16"/>
    <x v="1"/>
    <x v="0"/>
    <n v="8.8000000000000007"/>
    <n v="92"/>
    <x v="12"/>
    <s v="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Black Mirror has one or more episodes streaming with subscription on Netflix, and available for purchase on iTunes. It's a drama and fantasy show with 22 episodes over 5 seasons. Black Mirror is still airing with no announced date for the next episode or season. It has a high IMDb audience rating of 8.8 (417,642 votes) and was well received by critics."/>
    <s v="5Seasons"/>
    <x v="0"/>
  </r>
  <r>
    <x v="17"/>
    <x v="12"/>
    <x v="0"/>
    <n v="9.4"/>
    <n v="92"/>
    <x v="1"/>
    <s v="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Band of Brothers featuring Damian Lewis and Donnie Wahlberg has one or more episodes streaming with subscription on HBO MAX, streaming on HBO, available for purchase on iTunes, and 5 others. It's an action &amp; adventure and drama show with 10 episodes over 1 season. Band of Brothers is no longer running and has no plans to air new episodes or seasons. It has a very high IMDb audience rating of 9.4 (362,057 votes) and was very well received by critics."/>
    <s v="1 Season"/>
    <x v="1"/>
  </r>
  <r>
    <x v="18"/>
    <x v="13"/>
    <x v="1"/>
    <n v="8.6999999999999993"/>
    <n v="92"/>
    <x v="13"/>
    <s v="Dr. Gregory House, a drug-addicted, unconventional, misanthropic medical genius, leads a team of diagnosticians at the fictional Princeton–Plainsboro Teaching Hospital in New Jersey.House featuring Hugh Laurie and Omar Epps has one or more episodes streaming with subscription on Prime Video, streaming via tv everywhere with NBC (Via Cable/Satellite Provider), free on NBC, and 3 others. It's a comedy and drama show with 180 episodes over 8 seasons. House is no longer running and has no plans to air new episodes or seasons. It has a high IMDb audience rating of 8.7 (404,083 votes) and was very well received by critics."/>
    <s v="8Seasons"/>
    <x v="10"/>
  </r>
  <r>
    <x v="19"/>
    <x v="3"/>
    <x v="1"/>
    <n v="8.1999999999999993"/>
    <n v="92"/>
    <x v="14"/>
    <s v="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Lucifer featuring Tom Ellis and Lauren German has one or more episodes streaming with subscription on Netflix, available for purchase on iTunes, available for purchase on Google Play, and 4 others. It's a comedy and crime show with 75 episodes over 5 seasons. Lucifer is still airing with no announced date for the next episode or season. It has a high IMDb audience rating of 8.2 (209,541 votes) and was well received by critics."/>
    <s v="5Seasons"/>
    <x v="0"/>
  </r>
  <r>
    <x v="20"/>
    <x v="5"/>
    <x v="0"/>
    <n v="8.4"/>
    <n v="92"/>
    <x v="15"/>
    <s v="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Money Heist featuring Úrsula Corberó and Álvaro Morte has one or more episodes streaming with subscription on Netflix. It's an action &amp; adventure and crime show with 38 episodes over 2 seasons. Money Heist is still airing with no announced date for the next episode or season. It has a high IMDb audience rating of 8.4 (269,489 votes) and was very well received by critics."/>
    <s v="2Seasons"/>
    <x v="0"/>
  </r>
  <r>
    <x v="21"/>
    <x v="11"/>
    <x v="0"/>
    <n v="8.5"/>
    <n v="92"/>
    <x v="16"/>
    <s v="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Mr. Robot featuring Rami Malek and Christian Slater has one or more episodes streaming with subscription on Prime Video, streaming via tv everywhere with USA (Via Cable/Satellite Provider), streaming with subscription on fuboTV, and 5 others. It's a crime and drama show with 45 episodes over 4 seasons. Mr. Robot is no longer running and has no plans to air new episodes or seasons. It has a high IMDb audience rating of 8.5 (321,181 votes) and was very well received by critics."/>
    <s v="4Seasons"/>
    <x v="11"/>
  </r>
  <r>
    <x v="22"/>
    <x v="2"/>
    <x v="0"/>
    <n v="8.8000000000000007"/>
    <n v="92"/>
    <x v="0"/>
    <s v="A gangster family epic set in 1919 Birmingham, England and centered on a gang who sew razor blades in the peaks of their caps, and their fierce boss Tommy Shelby, who means to move up in the world.Peaky Blinders featuring Cillian Murphy and Paul Anderson has one or more episodes streaming with subscription on Netflix, available for purchase on iTunes, available for purchase on Google Play, and 3 others. It's a crime and drama show with 30 episodes over 5 seasons. Peaky Blinders is still airing with no announced date for the next episode or season. It has a high IMDb audience rating of 8.8 (308,525 votes) and was very well received by critics."/>
    <s v="5 Seasons"/>
    <x v="0"/>
  </r>
  <r>
    <x v="23"/>
    <x v="14"/>
    <x v="1"/>
    <n v="8.8000000000000007"/>
    <n v="91"/>
    <x v="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Cobra Kai featuring Ralph Macchio and William Zabka has one or more episodes streaming with subscription on Netflix, streaming with subscription on YouTube Premium, free on YouTube Premium, and 5 others. It's an action &amp; adventure and comedy show with 20 episodes over 2 seasons. Cobra Kai is still airing with no announced date for the next episode or season. It has a high IMDb audience rating of 8.8 (57,711 votes) and was very well received by critics."/>
    <s v="2Seasons"/>
    <x v="12"/>
  </r>
  <r>
    <x v="24"/>
    <x v="15"/>
    <x v="2"/>
    <n v="8.6999999999999993"/>
    <n v="91"/>
    <x v="2"/>
    <s v="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he Simpsons featuring Dan Castellaneta and Julie Kavner has one or more episodes streaming with subscription on Hulu, streaming via tv everywhere with FX (Via Cable/Satellite Provider), streaming with subscription on Disney+, and 7 others. It's an animation and comedy show with 684 episodes over 31 seasons. The Simpsons has a new episode airing on September 27th, 2020 (PDT). It has a high IMDb audience rating of 8.7 (356,453 votes) and was well received by critics."/>
    <s v="31 Seasons"/>
    <x v="13"/>
  </r>
  <r>
    <x v="25"/>
    <x v="4"/>
    <x v="1"/>
    <n v="8.6999999999999993"/>
    <n v="91"/>
    <x v="17"/>
    <s v="After the fall of the Galactic Empire, lawlessness has spread throughout the galaxy. A lone gunfighter makes his way through the outer reaches, earning his keep as a bounty hunter.The Mandalorian featuring Pedro Pascal and Gina Carano has one or more episodes streaming with subscription on Disney+. It's an action &amp; adventure and fantasy show with 8 episodes over 1 season. The Mandalorian is still airing with no announced date for the next episode or season. It has a high IMDb audience rating of 8.7 (187,117 votes) and was very well received by critics."/>
    <s v="1Season"/>
    <x v="14"/>
  </r>
  <r>
    <x v="26"/>
    <x v="16"/>
    <x v="0"/>
    <n v="9.1999999999999993"/>
    <n v="91"/>
    <x v="0"/>
    <s v="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he Sopranos featuring James Gandolfini and Edie Falco has one or more episodes streaming with subscription on HBO MAX, streaming on HBO, available for purchase on iTunes, and 4 others. It's a crime and drama show with 86 episodes over 6 seasons. The Sopranos is no longer running and has no plans to air new episodes or seasons. It has a very high IMDb audience rating of 9.2 (287,127 votes) and was very well received by critics."/>
    <s v="6Seasons"/>
    <x v="1"/>
  </r>
  <r>
    <x v="27"/>
    <x v="4"/>
    <x v="0"/>
    <n v="8"/>
    <n v="91"/>
    <x v="4"/>
    <s v="A dysfunctional family of superheroes comes together to solve the mystery of their father's death, the threat of the apocalypse and more.The Umbrella Academy featuring Tom Hopper and David Castañeda has one or more episodes streaming with subscription on Netflix. It's an action &amp; adventure and comedy show with 20 episodes over 2 seasons. The Umbrella Academy is still airing with no announced date for the next episode or season. It has a high IMDb audience rating of 8.0 (132,132 votes) and was well received by critics."/>
    <s v="2Seasons"/>
    <x v="0"/>
  </r>
  <r>
    <x v="28"/>
    <x v="2"/>
    <x v="0"/>
    <n v="8.5"/>
    <n v="91"/>
    <x v="1"/>
    <s v="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Vikings featuring Alexander Ludwig and Jordan Patrick Smith has one or more episodes streaming with subscription on Prime Video, streaming with subscription on Hulu, available for purchase on iTunes, and 5 others. It's an action &amp; adventure and drama show with 80 episodes over 6 seasons. Vikings is still airing with no announced date for the next episode or season. It has a high IMDb audience rating of 8.5 (402,321 votes) and was very well received by critics."/>
    <s v="6Seasons"/>
    <x v="15"/>
  </r>
  <r>
    <x v="29"/>
    <x v="6"/>
    <x v="0"/>
    <n v="8.1999999999999993"/>
    <n v="91"/>
    <x v="18"/>
    <s v="Sheriff's deputy Rick Grimes awakens from a coma to find a post-apocalyptic world dominated by flesh-eating zombies. He sets out to find his family and encounters many other survivors along the way.The Walking Dead featuring Norman Reedus and Danai Gurira has one or more episodes streaming with subscription on Netflix, streaming via tv everywhere with AMC, streaming with subscription on fuboTV, and 6 others. It's an action &amp; adventure and drama show with 146 episodes over 10 seasons. The Walking Dead has a new episode airing on October 4th, 2020 (PDT). It has a high IMDb audience rating of 8.2 (833,324 votes) and was well received by critics."/>
    <s v="10Seasons"/>
    <x v="16"/>
  </r>
  <r>
    <x v="30"/>
    <x v="13"/>
    <x v="1"/>
    <n v="8.3000000000000007"/>
    <n v="91"/>
    <x v="1"/>
    <s v="Stripped of everything, the survivors of a horrific plane crash must work together to stay alive. But the island holds many secrets.Lost featuring Naveen Andrews and Emilie de Ravin has one or more episodes streaming with subscription on Hulu, free on IMDb TV, available for purchase on Google Play, and 2 others. It's an action &amp; adventure and drama show with 124 episodes over 6 seasons. Lost is no longer running and has no plans to air new episodes or seasons. It has a high IMDb audience rating of 8.3 (483,722 votes) and was well received by critics."/>
    <s v="6 Seasons"/>
    <x v="17"/>
  </r>
  <r>
    <x v="31"/>
    <x v="2"/>
    <x v="1"/>
    <n v="8.4"/>
    <n v="91"/>
    <x v="10"/>
    <s v="A single-camera ensemble comedy following the lives of an eclectic group of detectives in a New York precinct, including one slacker who is forced to shape up when he gets a new boss.Brooklyn Nine-Nine featuring Andy Samberg and Melissa Fumero has one or more episodes streaming with subscription on Hulu, streaming via tv everywhere with TBS, streaming via tv everywhere with NBC (Via Cable/Satellite Provider), and 7 others. It's an action &amp; adventure and comedy show with 143 episodes over 7 seasons. Brooklyn Nine-Nine is still airing with no announced date for the next episode or season. It has a high IMDb audience rating of 8.4 (206,113 votes) and was very well received by critics."/>
    <s v="7 Seasons"/>
    <x v="18"/>
  </r>
  <r>
    <x v="32"/>
    <x v="4"/>
    <x v="1"/>
    <n v="8.3000000000000007"/>
    <n v="91"/>
    <x v="19"/>
    <s v="Inexperienced Otis channels his sex therapist mom when he teams up with rebellious Maeve to set up an underground sex therapy clinic at school.Sex Education featuring Asa Butterfield and Gillian Anderson has one or more episodes streaming with subscription on Netflix. It's a comedy and drama show with 16 episodes over 2 seasons. Sex Education is still airing with no announced date for the next episode or season. It has a high IMDb audience rating of 8.3 (142,383 votes) and was very well received by critics."/>
    <s v="2Seasons"/>
    <x v="0"/>
  </r>
  <r>
    <x v="33"/>
    <x v="5"/>
    <x v="0"/>
    <n v="8.6"/>
    <n v="91"/>
    <x v="0"/>
    <s v="An agent in the FBI's Elite Serial Crime Unit develops profiling techniques as he pursues notorious serial killers and rapists.Mindhunter featuring Jonathan Groff and Holt McCallany has one or more episodes streaming with subscription on Netflix. It's a crime and drama show with 19 episodes over 2 seasons. Mindhunter is still airing with no announced date for the next episode or season. It has a high IMDb audience rating of 8.6 (199,286 votes) and was very well received by critics."/>
    <s v="2Seasons"/>
    <x v="0"/>
  </r>
  <r>
    <x v="34"/>
    <x v="17"/>
    <x v="0"/>
    <n v="8.6"/>
    <n v="91"/>
    <x v="0"/>
    <s v="Dexter Morgan, a blood spatter pattern analyst for the Miami Metro Police also leads a secret life as a serial killer, hunting down criminals who have slipped through the cracks of justice.Dexter featuring Michael C. Hall and Jennifer Carpenter has one or more episodes streaming with subscription on Netflix, streaming on Showtime, free on Showtime FREEview, and 7 others. It's a crime and drama show with 96 episodes over 8 seasons. Dexter is no longer running and has no plans to air new episodes or seasons. It has a high IMDb audience rating of 8.6 (629,796 votes) and was well received by critics."/>
    <s v="8Seasons"/>
    <x v="19"/>
  </r>
  <r>
    <x v="35"/>
    <x v="11"/>
    <x v="0"/>
    <n v="8.8000000000000007"/>
    <n v="91"/>
    <x v="0"/>
    <s v="A gritty chronicle of the war against Colombia's infamously violent and powerful drug cartels.Narcos featuring Pedro Pascal and Matias Varela has one or more episodes streaming with subscription on Netflix. It's an action &amp; adventure and biography show with 30 episodes over 3 seasons. Narcos is no longer running and has no plans to air new episodes or seasons. It has a high IMDb audience rating of 8.8 (340,614 votes) and was very well received by critics."/>
    <s v="3Seasons"/>
    <x v="0"/>
  </r>
  <r>
    <x v="36"/>
    <x v="3"/>
    <x v="0"/>
    <n v="8.6999999999999993"/>
    <n v="91"/>
    <x v="12"/>
    <s v="A dark odyssey about the dawn of artificial consciousness and the evolution of sin. Set at the intersection of the near future and the reimagined past, it explores a world in which every human appetite, no matter how noble or depraved, can be indulged.Westworld featuring Evan Rachel Wood and Thandie Newton has one or more episodes streaming with subscription on HBO MAX, streaming on HBO, available for purchase on iTunes, and 4 others. It's an action &amp; adventure and drama show with 28 episodes over 3 seasons. Westworld is still airing with no announced date for the next episode or season. It has a high IMDb audience rating of 8.7 (411,111 votes) and was well received by critics."/>
    <s v="3Seasons"/>
    <x v="1"/>
  </r>
  <r>
    <x v="37"/>
    <x v="7"/>
    <x v="0"/>
    <n v="9"/>
    <n v="91"/>
    <x v="0"/>
    <s v="An American anthology police detective series utilizing multiple timelines in which investigations seem to unearth personal and professional secrets of those involved, both within or outside the law.True Detective featuring Mahershala Ali and Stephen Dorff has one or more episodes streaming with subscription on HBO MAX, streaming on HBO, available for purchase on iTunes, and 5 others. It's a crime and drama show with 24 episodes over 3 seasons. True Detective is still airing with no announced date for the next episode or season. It has a high IMDb audience rating of 9.0 (484,267 votes) and was well received by critics."/>
    <s v="3Seasons"/>
    <x v="1"/>
  </r>
  <r>
    <x v="38"/>
    <x v="18"/>
    <x v="0"/>
    <n v="8.6999999999999993"/>
    <n v="90"/>
    <x v="2"/>
    <s v="Follows the misadventures of four irreverent grade-schoolers in the quiet, dysfunctional town of South Park, Colorado.South Park featuring Trey Parker and Matt Stone has one or more episodes streaming with subscription on HBO MAX, streaming with subscription on Hulu, streaming via tv everywhere with Comedy Central (Via Cable/Satellite Provider), and 9 others. It's an animation and comedy show with 309 episodes over 23 seasons. South Park is still airing with no announced date for the next episode or season. It has a high IMDb audience rating of 8.7 (323,497 votes) and was well received by critics."/>
    <s v="23 Seasons"/>
    <x v="2"/>
  </r>
  <r>
    <x v="39"/>
    <x v="19"/>
    <x v="1"/>
    <n v="8.6"/>
    <n v="90"/>
    <x v="20"/>
    <s v="Hilarious ensemble comedy that follows Leslie Knope, a mid-level bureaucrat in the Parks and Recreation Department of Pawnee, Indiana, and her tireless efforts to make her quintessentially American town just a little bit more fun.Parks and Recreation featuring Amy Poehler and Rashida Jones has one or more episodes streaming with subscription on Netflix, streaming with subscription on Prime Video, streaming with subscription on Hulu, and 10 others. It's a comedy show with 126 episodes over 7 seasons. Parks and Recreation is no longer running and has no plans to air new episodes or seasons. It has a high IMDb audience rating of 8.6 (203,434 votes) and was very well received by critics."/>
    <s v="7Seasons"/>
    <x v="20"/>
  </r>
  <r>
    <x v="40"/>
    <x v="20"/>
    <x v="1"/>
    <n v="8.6"/>
    <n v="90"/>
    <x v="21"/>
    <s v="Mad Men is set in the 1960s, initially at the fictional Sterling Cooper advertising agency on Madison Avenue in New York City, and later at the newly created firm, Sterling Cooper Draper Pryce, located nearby in the Time-Life Building, at 1271 Avenue of the Americas. According to the show's pilot, the phrase &quot;mad men&quot; was a slang term coined in the 1950s by advertisers working on Madison Avenue to refer to themselves. The focal point of the series is Don Draper, creative director at Sterling Cooper and a founding partner at Sterling Cooper Draper Pryce, and the people in his life, both in and out of the office. The plot focuses on the business of the agencies as well as the personal lives of the characters, regularly depicting the changing moods and social mores of the United States in the 1960s.Mad Men featuring John Slattery and Jon Hamm has one or more episodes streaming with subscription on Netflix, free on IMDb TV, available for purchase on iTunes, and 3 others. It's a drama show with 94 episodes over 7 seasons. Mad Men is no longer running and has no plans to air new episodes or seasons. It has a high IMDb audience rating of 8.6 (200,295 votes) and was very well received by critics."/>
    <s v="7Seasons"/>
    <x v="21"/>
  </r>
  <r>
    <x v="41"/>
    <x v="11"/>
    <x v="0"/>
    <n v="8.6"/>
    <n v="90"/>
    <x v="6"/>
    <s v="Lawyer-by-day Matt Murdock uses his heightened senses from being blinded as a young boy to fight crime at night on the streets of Hell’s Kitchen as Daredevil.Marvel's Daredevil featuring Charlie Cox and Deborah Ann Woll has one or more episodes streaming with subscription on Netflix, available for purchase on iTunes, available for purchase on Google Play, and 4 others. It's an action &amp; adventure and crime show with 39 episodes over 3 seasons. Marvel's Daredevil is no longer running and has no plans to air new episodes or seasons. It has a high IMDb audience rating of 8.6 (353,578 votes) and was very well received by critics."/>
    <s v="3Seasons"/>
    <x v="0"/>
  </r>
  <r>
    <x v="42"/>
    <x v="10"/>
    <x v="1"/>
    <n v="9"/>
    <n v="90"/>
    <x v="12"/>
    <s v="In the year 2517, after the arrival of humans in a new star system, follow the adventures of the renegade crew of Serenity, a &quot;Firefly-class&quot; spaceship. The ensemble cast portrays the nine characters who live on Serenity.Firefly featuring Nathan Fillion and Gina Torres has one or more episodes streaming with subscription on Hulu, available for purchase on iTunes, available for purchase on Google Play, and 4 others. It's an action &amp; adventure and drama show with 14 episodes over 1 season. Firefly is no longer running and has no plans to air new episodes or seasons. It has a high IMDb audience rating of 9.0 (239,339 votes) and was well received by critics."/>
    <s v="1Season"/>
    <x v="4"/>
  </r>
  <r>
    <x v="43"/>
    <x v="0"/>
    <x v="1"/>
    <n v="8.4"/>
    <n v="90"/>
    <x v="0"/>
    <s v="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Fringe featuring Anna Torv and Jasika Nicole has one or more episodes free on IMDb TV, available for purchase on iTunes, available for purchase on Google Play, and 4 others. It's a crime and drama show with 100 episodes over 5 seasons. Fringe is no longer running and has no plans to air new episodes or seasons. It has a high IMDb audience rating of 8.4 (215,897 votes) and was very well received by critics."/>
    <s v="5 Seasons"/>
    <x v="22"/>
  </r>
  <r>
    <x v="44"/>
    <x v="1"/>
    <x v="0"/>
    <n v="8.6"/>
    <n v="90"/>
    <x v="22"/>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Shameless featuring William H. Macy and Jeremy Allen White has one or more episodes streaming with subscription on Netflix, streaming on Showtime, streaming with subscription on fuboTV, and 6 others. It's a comedy and drama show with 122 episodes over 10 seasons. Shameless is still airing with no announced date for the next episode or season. It has a high IMDb audience rating of 8.6 (193,759 votes) and was well received by critics."/>
    <s v="10 Seasons"/>
    <x v="23"/>
  </r>
  <r>
    <x v="45"/>
    <x v="20"/>
    <x v="1"/>
    <n v="8.1"/>
    <n v="90"/>
    <x v="8"/>
    <s v="The Big Bang Theory is centered on five characters living in Pasadena, California: roommates Leonard Hofstadter and Sheldon Cooper; Penny, a waitress and aspiring actress who lives across the hall; and Leonard and Sheldon's equally geeky and socially awkward friends and co-workers, mechanical engineer Howard Wolowitz and astrophysicist Raj Koothrappali. The geekiness and intellect of the four guys is contrasted for comic effect with Penny's social skills and common sense.The Big Bang Theory featuring Jim Parsons and Johnny Galecki has one or more episodes streaming with subscription on HBO MAX, streaming with subscription on Hulu, streaming via tv everywhere with TBS, and 3 others. It's a comedy and romance show with 282 episodes over 12 seasons. The Big Bang Theory is no longer running and has no plans to air new episodes or seasons. It has a high IMDb audience rating of 8.1 (700,513 votes) and was well received by critics."/>
    <s v="12Seasons"/>
    <x v="6"/>
  </r>
  <r>
    <x v="46"/>
    <x v="19"/>
    <x v="1"/>
    <n v="8.4"/>
    <n v="90"/>
    <x v="22"/>
    <s v="The Pritchett-Dunphy-Tucker clan is a wonderfully large and blended family. They give us an honest and often hilarious look into the sometimes warm, sometimes twisted, embrace of the modern family.Modern Family featuring Ed O'Neill and Sofía Vergara has one or more episodes streaming with subscription on Hulu, streaming via tv everywhere with ABC (Via Cable/Satellite Provider), free on ABC, and 5 others. It's a comedy and drama show with 255 episodes over 11 seasons. Modern Family is no longer running and has no plans to air new episodes or seasons. It has a high IMDb audience rating of 8.4 (339,700 votes) and was well received by critics."/>
    <s v="11 Seasons"/>
    <x v="24"/>
  </r>
  <r>
    <x v="47"/>
    <x v="1"/>
    <x v="1"/>
    <n v="8.5"/>
    <n v="90"/>
    <x v="23"/>
    <s v="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Suits featuring Gabriel Macht and Rick Hoffman has one or more episodes streaming with subscription on Prime Video, free on Peacock, available for purchase on iTunes, and 4 others. It's a comedy and drama show with 134 episodes over 9 seasons. Suits is no longer running and has no plans to air new episodes or seasons. It has a high IMDb audience rating of 8.5 (353,576 votes) and was very well received by critics."/>
    <s v="9Seasons"/>
    <x v="25"/>
  </r>
  <r>
    <x v="48"/>
    <x v="21"/>
    <x v="1"/>
    <n v="9.1999999999999993"/>
    <n v="90"/>
    <x v="24"/>
    <s v="A 10-part documentary chronicling the untold story of Michael Jordan and the Chicago Bulls dynasty with rare, never-before-seen footage and sound from the 1997-98 championship season – plus over 100 interviews with famous figures and basketball’s biggest names.The Last Dance featuring Michael Jordan and Scottie Pippen has one or more episodes streaming with subscription on Netflix. It's a biography and documentary show with 10 episodes over 1 season. The Last Dance is no longer running and has no plans to air new episodes or seasons. It has a very high IMDb audience rating of 9.2 (65,724 votes) and was very well received by critics."/>
    <s v="1Season"/>
    <x v="0"/>
  </r>
  <r>
    <x v="49"/>
    <x v="19"/>
    <x v="2"/>
    <n v="8.5"/>
    <n v="90"/>
    <x v="20"/>
    <s v="Follow the lives of a group of students at what is possibly the world’s worst community college in the fictional locale of Greendale, Colorado.Community featuring Alison Brie and Joel McHale has one or more episodes streaming with subscription on Netflix, streaming with subscription on Hulu, free on Sony Crackle, and 5 others. It's a comedy show with 112 episodes over 6 seasons. Community is no longer running and has no plans to air new episodes or seasons. It has a high IMDb audience rating of 8.5 (205,783 votes) and was well received by critics."/>
    <s v="6Seasons"/>
    <x v="9"/>
  </r>
  <r>
    <x v="50"/>
    <x v="8"/>
    <x v="0"/>
    <n v="8.8000000000000007"/>
    <n v="90"/>
    <x v="9"/>
    <s v="Four egocentric friends who run a neighborhood Irish pub in Philadelphia try to find their way through the adult world of work and relationships. Unfortunately, their warped views and precarious judgments often lead them to trouble, creating a myriad of uncomfortable situations that usually only get worse before they get better.It's Always Sunny in Philadelphia featuring Charlie Day and Glenn Howerton has one or more episodes streaming with subscription on Hulu, streaming via tv everywhere with FX (Via Cable/Satellite Provider), streaming via tv everywhere with VICELAND (Via Cable/Satellite Provider), and 5 others. It's a comedy show with 154 episodes over 14 seasons. It's Always Sunny in Philadelphia is still airing with no announced date for the next episode or season. It has a high IMDb audience rating of 8.8 (185,015 votes) and was very well received by critics."/>
    <s v="14Seasons"/>
    <x v="26"/>
  </r>
  <r>
    <x v="51"/>
    <x v="22"/>
    <x v="0"/>
    <n v="8.8000000000000007"/>
    <n v="90"/>
    <x v="18"/>
    <s v="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win Peaks featuring Kyle MacLachlan and Alicia Witt has one or more episodes streaming with subscription on Netflix, streaming with subscription on Showtime (Via Prime Video), streaming with subscription on Hulu, and 6 others. It's a crime and drama show with 48 episodes over 3 seasons. Twin Peaks is no longer running and has no plans to air new episodes or seasons. It has a high IMDb audience rating of 8.8 (169,399 votes) and was well received by critics."/>
    <s v="3 Seasons"/>
    <x v="27"/>
  </r>
  <r>
    <x v="52"/>
    <x v="2"/>
    <x v="0"/>
    <n v="8.5"/>
    <n v="90"/>
    <x v="0"/>
    <s v="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Hannibal featuring Hugh Dancy and Mads Mikkelsen has one or more episodes streaming with subscription on Netflix, and available for purchase on VUDU. It's a crime and drama show with 39 episodes over 3 seasons. Hannibal is no longer running and has no plans to air new episodes or seasons. It has a high IMDb audience rating of 8.5 (220,975 votes) and was very well received by critics."/>
    <s v="3Seasons"/>
    <x v="0"/>
  </r>
  <r>
    <x v="53"/>
    <x v="5"/>
    <x v="0"/>
    <n v="8.4"/>
    <n v="90"/>
    <x v="0"/>
    <s v="A financial adviser drags his family from Chicago to the Missouri Ozarks, where he must launder $500 million in five years to appease a drug boss.Ozark featuring Jason Bateman and Laura Linney has one or more episodes streaming with subscription on Netflix. It's a crime and drama show with 30 episodes over 3 seasons. Ozark is still airing with no announced date for the next episode or season. It has a high IMDb audience rating of 8.4 (170,038 votes) and was well received by critics."/>
    <s v="3Seasons"/>
    <x v="0"/>
  </r>
  <r>
    <x v="54"/>
    <x v="15"/>
    <x v="2"/>
    <n v="8.8000000000000007"/>
    <n v="90"/>
    <x v="25"/>
    <s v="A stand-up comedian and his three offbeat friends weather the pitfalls and payoffs of life in New York City in the '90s. It's a show about nothing.Seinfeld featuring Jerry Seinfeld and Jason Alexander has one or more episodes streaming with subscription on Hulu, streaming via tv everywhere with TBS, streaming with subscription on fuboTV, and 3 others. It's a Comedy and Stand up &amp; Talk show with 190 episodes over 9 seasons. Seinfeld is no longer running and has no plans to air new episodes or seasons. It has a high IMDb audience rating of 8.8 (246,958 votes) and was well received by critics."/>
    <s v="9Seasons"/>
    <x v="28"/>
  </r>
  <r>
    <x v="55"/>
    <x v="14"/>
    <x v="0"/>
    <n v="8.6999999999999993"/>
    <n v="89"/>
    <x v="26"/>
    <s v="The Crains, a fractured family, confront haunting memories of their old home and the terrifying events that drove them from it.The Haunting featuring Michiel Huisman and Elizabeth Reaser has one or more episodes streaming with subscription on Netflix, available for purchase on Google Play, available for purchase on Prime Video, and 2 others. It's a drama and horror show with 10 episodes over 1 season. The Haunting is still airing with no announced date for the next episode or season. It has a high IMDb audience rating of 8.7 (154,025 votes) and was very well received by critics."/>
    <s v="1Season"/>
    <x v="0"/>
  </r>
  <r>
    <x v="56"/>
    <x v="19"/>
    <x v="0"/>
    <n v="9.1"/>
    <n v="89"/>
    <x v="11"/>
    <s v="Edward and Alphonse Elric's reckless disregard for alchemy's fun­damental laws ripped half of Ed's limbs from his body and left Al's soul clinging to a cold suit of armor. To restore what was lost, the brothers scour a war-torn land for the Philosopher's Sto­ne, a fabled relic which grants the ability to perform alchemy in impossible ways. The Elrics are not alone in their search; the corrupt State Military is also eager to harness the artifact's power. So too are the strange Homunculi and their shadowy creator. The mythical gem lures exotic alchemists from distant kingdoms, scarring some deeply enough to inspire murder. As the Elrics find their course altered by these enemies and allies, their purpose remains unchanged – and their bond unbreakable.Fullmetal Alchemist: Brotherhood featuring Romi Park and Rie Kugimiya has one or more episodes streaming with subscription on Netflix, streaming with subscription on HBO MAX, streaming with subscription on Hulu, and 2 others. It's an action &amp; adventure and animation show with 64 episodes over 1 season. Fullmetal Alchemist: Brotherhood is no longer running and has no plans to air new episodes or seasons. It has a very high IMDb audience rating of 9.1 (109,584 votes) and was very well received by critics."/>
    <s v="1Season"/>
    <x v="29"/>
  </r>
  <r>
    <x v="57"/>
    <x v="4"/>
    <x v="0"/>
    <n v="8.1999999999999993"/>
    <n v="89"/>
    <x v="27"/>
    <s v="Geralt of Rivia, a mutated monster-hunter for hire, journeys toward his destiny in a turbulent world where people often prove more wicked than beasts.The Witcher featuring Henry Cavill and Freya Allan has one or more episodes streaming with subscription on Netflix. It's an action &amp; adventure and drama show with 8 episodes over 1 season. The Witcher is still airing with no announced date for the next episode or season. It has a high IMDb audience rating of 8.2 (268,685 votes) and was well received by critics."/>
    <s v="1Season"/>
    <x v="0"/>
  </r>
  <r>
    <x v="58"/>
    <x v="2"/>
    <x v="0"/>
    <n v="8.1999999999999993"/>
    <n v="89"/>
    <x v="16"/>
    <s v="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he Fall featuring Gillian Anderson and Jamie Dornan has one or more episodes streaming with subscription on Prime Video, free on Plex, free on Tubi, and 9 others. It's a crime and drama show with 29 episodes over 3 seasons. The Fall is no longer running and has no plans to air new episodes or seasons. It has a high IMDb audience rating of 8.2 (76,626 votes) and was well received by critics."/>
    <s v="3Seasons"/>
    <x v="30"/>
  </r>
  <r>
    <x v="59"/>
    <x v="1"/>
    <x v="0"/>
    <n v="8.3000000000000007"/>
    <n v="89"/>
    <x v="0"/>
    <s v="CIA officer Carrie Mathison is tops in her field despite being bipolar, which makes her volatile and unpredictable. With the help of her long-time mentor Saul Berenson, Carrie fearlessly risks everything, including her personal well-being and even sanity, at every turn.Homeland featuring Claire Danes and Mandy Patinkin has one or more episodes streaming on Showtime, free on Showtime FREEview, streaming with subscription on fuboTV, and 3 others. It's an action &amp; adventure and crime show with 98 episodes over 8 seasons. Homeland is no longer running and has no plans to air new episodes or seasons. It has a high IMDb audience rating of 8.3 (305,050 votes) and was well received by critics."/>
    <s v="8Seasons"/>
    <x v="31"/>
  </r>
  <r>
    <x v="60"/>
    <x v="7"/>
    <x v="1"/>
    <n v="7.7"/>
    <n v="89"/>
    <x v="12"/>
    <s v="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he 100 featuring Eliza Taylor and Marie Avgeropoulos has one or more episodes streaming with subscription on Netflix, free on The CW, streaming with subscription on fuboTV, and 5 others. It's an action &amp; adventure and drama show with 98 episodes over 7 seasons. The 100 has a new episode airing on September 16th, 2020 (PDT). It has a high IMDb audience rating of 7.7 (202,481 votes) and was very well received by critics."/>
    <s v="7 Seasons"/>
    <x v="32"/>
  </r>
  <r>
    <x v="61"/>
    <x v="8"/>
    <x v="1"/>
    <n v="8.3000000000000007"/>
    <n v="89"/>
    <x v="8"/>
    <s v="A father recounts to his children - through a series of flashbacks - the journey he and his four best friends took leading up to him meeting their mother.How I Met Your Mother featuring Cristin Milioti and Neil Patrick Harris has one or more episodes streaming with subscription on Hulu, available for purchase on iTunes, available for purchase on Google Play, and 4 others. It's a comedy and romance show with 209 episodes over 9 seasons. How I Met Your Mother is no longer running and has no plans to air new episodes or seasons. It has a high IMDb audience rating of 8.3 (584,275 votes) and was well received by critics."/>
    <s v="9Seasons"/>
    <x v="4"/>
  </r>
  <r>
    <x v="62"/>
    <x v="3"/>
    <x v="1"/>
    <n v="8.1999999999999993"/>
    <n v="89"/>
    <x v="22"/>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he Good Place featuring Kristen Bell and Ted Danson has one or more episodes streaming with subscription on Netflix, streaming with subscription on Hulu, streaming via tv everywhere with NBC (Via Cable/Satellite Provider), and 7 others. It's a comedy and drama show with 53 episodes over 4 seasons. The Good Place is no longer running and has no plans to air new episodes or seasons. It has a high IMDb audience rating of 8.2 (101,695 votes) and was very well received by critics."/>
    <s v="4Seasons"/>
    <x v="9"/>
  </r>
  <r>
    <x v="63"/>
    <x v="11"/>
    <x v="1"/>
    <n v="8.5"/>
    <n v="89"/>
    <x v="27"/>
    <s v="A thriller set two hundred years in the future following the case of a missing young woman who brings a hardened detective and a rogue ship's captain together in a race across the solar system to expose the greatest conspiracy in human history.The Expanse featuring Steven Strait and Cas Anvar has one or more episodes streaming with subscription on Prime Video, available for purchase on iTunes, available for purchase on Google Play, and 3 others. It's an action &amp; adventure and drama show with 46 episodes over 4 seasons. The Expanse is still airing with no announced date for the next episode or season. It has a high IMDb audience rating of 8.5 (95,168 votes) and was very well received by critics."/>
    <s v="4 Seasons"/>
    <x v="3"/>
  </r>
  <r>
    <x v="64"/>
    <x v="8"/>
    <x v="1"/>
    <n v="7.6"/>
    <n v="89"/>
    <x v="28"/>
    <s v="Follows the personal and professional lives of a group of doctors at Seattle’s Grey Sloan Memorial Hospital.Grey's Anatomy featuring Ellen Pompeo and Justin Chambers has one or more episodes streaming with subscription on Netflix, streaming with subscription on Hulu, free on ABC, and 4 others. It's a drama and romance show with 365 episodes over 16 seasons. Grey's Anatomy is still airing with no announced date for the next episode or season. It has a high IMDb audience rating of 7.6 (238,957 votes) and was well received by critics."/>
    <s v="16 Seasons"/>
    <x v="9"/>
  </r>
  <r>
    <x v="65"/>
    <x v="3"/>
    <x v="1"/>
    <n v="8.5"/>
    <n v="89"/>
    <x v="11"/>
    <s v="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My Hero Academia featuring Daiki Yamashita and Nobuhiko Okamoto has one or more episodes streaming with subscription on Hulu, streaming with subscription on Crunchyroll, streaming via tv everywhere with Adult Swim (Via Cable/Satellite Provider), and 8 others. It's an action &amp; adventure and animation show with 93 episodes over 4 seasons. My Hero Academia is still airing with no announced date for the next episode or season. It has a high IMDb audience rating of 8.5 (28,993 votes) and was very well received by critics."/>
    <s v="4Seasons"/>
    <x v="33"/>
  </r>
  <r>
    <x v="66"/>
    <x v="2"/>
    <x v="0"/>
    <n v="8.6999999999999993"/>
    <n v="89"/>
    <x v="29"/>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House of Cards featuring Robin Wright and Michael Kelly has one or more episodes streaming with subscription on Netflix, available for purchase on iTunes, available for purchase on Google Play, and 4 others. It's a crime and drama show with 73 episodes over 6 seasons. House of Cards is no longer running and has no plans to air new episodes or seasons. It has a high IMDb audience rating of 8.7 (456,433 votes) and was well received by critics."/>
    <s v="6Seasons"/>
    <x v="0"/>
  </r>
  <r>
    <x v="67"/>
    <x v="5"/>
    <x v="0"/>
    <n v="8.5"/>
    <n v="88"/>
    <x v="12"/>
    <s v="Set in a dystopian future, a woman is forced to live as a concubine under a theonomic dictatorship. A TV adaptation of Margaret Atwood's novel.The Handmaid's Tale featuring Elisabeth Moss and Yvonne Strahovski has one or more episodes streaming with subscription on Hulu, available for purchase on iTunes, available for purchase on Google Play, and 4 others. It's a drama and fantasy show with 37 episodes over 3 seasons. The Handmaid's Tale is still airing with no announced date for the next episode or season. It has a high IMDb audience rating of 8.5 (160,327 votes) and was well received by critics."/>
    <s v="3Seasons"/>
    <x v="4"/>
  </r>
  <r>
    <x v="68"/>
    <x v="2"/>
    <x v="1"/>
    <n v="7.5"/>
    <n v="88"/>
    <x v="1"/>
    <s v="Agent Phil Coulson of S.H.I.E.L.D. (Strategic Homeland Intervention, Enforcement and Logistics Division) puts together a team of agents to investigate the new, the strange and the unknown around the globe, protecting the ordinary from the extraordinary.Marvel's Agents of S.H.I.E.L.D. featuring Clark Gregg and Ming-Na Wen has one or more episodes streaming with subscription on Netflix, streaming with subscription on Hulu, free on ABC, and 5 others. It's an action &amp; adventure and drama show with 136 episodes over 7 seasons. Marvel's Agents of S.H.I.E.L.D. is no longer running and has no plans to air new episodes or seasons. It has a better than average IMDb audience rating of 7.5 (195,013 votes) and was very well received by critics."/>
    <s v="7Seasons"/>
    <x v="9"/>
  </r>
  <r>
    <x v="69"/>
    <x v="3"/>
    <x v="0"/>
    <n v="8.6999999999999993"/>
    <n v="88"/>
    <x v="22"/>
    <s v="Fleabag is thrown roughly up against the walls of contemporary London, sleeping with anyone who dares to stand too close, squeezing money from wherever she  can, rejecting anyone who tries to help her, and keeping up her bravado throughout.Fleabag featuring Phoebe Waller-Bridge and Sian Clifford has one or more episodes streaming with subscription on Prime Video, and available for purchase on iTunes. It's a comedy and drama show with 12 episodes over 2 seasons. Fleabag is no longer running and has no plans to air new episodes or seasons. It has a high IMDb audience rating of 8.7 (84,330 votes) and was very well received by critics."/>
    <s v="2Seasons"/>
    <x v="3"/>
  </r>
  <r>
    <x v="70"/>
    <x v="3"/>
    <x v="0"/>
    <n v="8.6999999999999993"/>
    <n v="88"/>
    <x v="5"/>
    <s v="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he Crown featuring Olivia Colman and Tobias Menzies has one or more episodes streaming with subscription on Netflix. It's a drama and history show with 30 episodes over 3 seasons. The Crown is still airing with no announced date for the next episode or season. It has a high IMDb audience rating of 8.7 (117,635 votes) and was very well received by critics."/>
    <s v="3Seasons"/>
    <x v="0"/>
  </r>
  <r>
    <x v="71"/>
    <x v="7"/>
    <x v="0"/>
    <n v="8.4"/>
    <n v="88"/>
    <x v="3"/>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Outlander featuring Caitriona Balfe and Sam Heughan has one or more episodes streaming with subscription on Netflix, streaming on Starz, available for purchase on iTunes, and 3 others. It's an action &amp; adventure and animation show with 69 episodes over 5 seasons. Outlander is still airing with no announced date for the next episode or season. It has a high IMDb audience rating of 8.4 (116,066 votes) and was very well received by critics."/>
    <s v="5Seasons"/>
    <x v="34"/>
  </r>
  <r>
    <x v="72"/>
    <x v="4"/>
    <x v="0"/>
    <n v="8.9"/>
    <n v="88"/>
    <x v="30"/>
    <s v="Five teens from Harlem become trapped in a nightmare when they're falsely accused of a brutal attack in Central Park.When They See Us featuring Jharrel Jerome and Ethan Herisse has one or more episodes streaming with subscription on Netflix, and free on PBS. It's a biography and crime show with 4 episodes over 1 season. When They See Us is no longer running and has no plans to air new episodes or seasons. It has a high IMDb audience rating of 8.9 (82,251 votes) and was very well received by critics."/>
    <s v="1Season"/>
    <x v="21"/>
  </r>
  <r>
    <x v="73"/>
    <x v="16"/>
    <x v="1"/>
    <n v="8.4"/>
    <n v="88"/>
    <x v="31"/>
    <s v="The adventures of a late-20th-century New York City pizza delivery boy, Philip J. Fry, who, after being unwittingly cryogenically frozen for one thousand years, finds employment at Planet Express, an interplanetary delivery company in the retro-futuristic 31st century.Futurama featuring Billy West and John DiMaggio has one or more episodes streaming with subscription on Hulu, streaming via tv everywhere with Syfy, streaming via tv everywhere with Comedy Central (Via Cable/Satellite Provider), and 6 others. It's an animation and comedy show with 142 episodes over 8 seasons. Futurama is no longer running and has no plans to air new episodes or seasons. It has a high IMDb audience rating of 8.4 (209,235 votes) and was very well received by critics."/>
    <s v="8Seasons"/>
    <x v="35"/>
  </r>
  <r>
    <x v="74"/>
    <x v="0"/>
    <x v="0"/>
    <n v="8.6"/>
    <n v="88"/>
    <x v="0"/>
    <s v="An adrenalized drama with darkly comedic undertones that explores a notorious outlaw motorcycle club’s (MC) desire to protect its livelihood while ensuring that their simple, sheltered town of Charming, California remains exactly that, charming. The MC must confront threats from drug dealers, corporate developers, and overzealous law officers. Behind the MC’s familial lifestyle and legally thriving automotive shop is a ruthless and illegal arms business driven by the seduction of money, power, and blood.Sons of Anarchy featuring Charlie Hunnam and Katey Sagal has one or more episodes streaming with subscription on Hulu, streaming via tv everywhere with NBC Universo, available for purchase on iTunes, and 4 others. It's a crime and drama show with 93 episodes over 7 seasons. Sons of Anarchy is no longer running and has no plans to air new episodes or seasons. It has a high IMDb audience rating of 8.6 (250,199 votes) and was well received by critics."/>
    <s v="7Seasons"/>
    <x v="4"/>
  </r>
  <r>
    <x v="75"/>
    <x v="19"/>
    <x v="1"/>
    <n v="7.7"/>
    <n v="88"/>
    <x v="3"/>
    <s v="The story of two vampire brothers obsessed with the same girl, who bears a striking resemblance to the beautiful but ruthless vampire they knew and loved in 1864.The Vampire Diaries featuring Paul Wesley and Ian Somerhalder has one or more episodes streaming with subscription on Netflix, free on Guidebox, available for purchase on iTunes, and 5 others. It's a drama and fantasy show with 175 episodes over 9 seasons. The Vampire Diaries is no longer running and has no plans to air new episodes or seasons. It has a high IMDb audience rating of 7.7 (274,918 votes) and was well received by critics."/>
    <s v="9Seasons"/>
    <x v="21"/>
  </r>
  <r>
    <x v="76"/>
    <x v="8"/>
    <x v="1"/>
    <n v="8.3000000000000007"/>
    <n v="88"/>
    <x v="27"/>
    <s v="Due to a political conspiracy, an innocent man is sent to death row and his only hope is his brother, who makes it his mission to deliberately get himself sent to the same prison in order to break the both of them out, from the inside out.Prison Break featuring Wentworth Miller and Dominic Purcell has one or more episodes streaming with subscription on Hulu, available for purchase on iTunes, available for purchase on Google Play, and 5 others. It's an action &amp; adventure and crime show with 89 episodes over 5 seasons. Prison Break is no longer running and has no plans to air new episodes or seasons. It has a high IMDb audience rating of 8.3 (462,661 votes) and was met with mixed reviews by critics."/>
    <s v="5Seasons"/>
    <x v="4"/>
  </r>
  <r>
    <x v="77"/>
    <x v="23"/>
    <x v="2"/>
    <n v="8.4"/>
    <n v="88"/>
    <x v="7"/>
    <s v="Avatar Korra, a headstrong, rebellious, feisty young woman who continually challenges and breaks with tradition, is on her quest to become a fully realized Avatar. In this story, the Avatar struggles to find balance within herself.The Legend of Korra featuring Janet Varney and David Faustino has one or more episodes streaming with subscription on Netflix, streaming on CBS All Access, free on ABC News, and 7 others. It's an action &amp; adventure and animation show with 53 episodes over 4 seasons. The Legend of Korra is no longer running and has no plans to air new episodes or seasons. It has a high IMDb audience rating of 8.4 (97,021 votes) and was very well received by critics."/>
    <s v="4Seasons"/>
    <x v="36"/>
  </r>
  <r>
    <x v="78"/>
    <x v="19"/>
    <x v="0"/>
    <n v="8.6"/>
    <n v="88"/>
    <x v="4"/>
    <s v="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Archer featuring H. Jon Benjamin and Aisha Tyler has one or more episodes streaming with subscription on Hulu, streaming via tv everywhere with FX (Via Cable/Satellite Provider), streaming with subscription on fuboTV, and 7 others. It's an action &amp; adventure and animation show with 116 episodes over 11 seasons. Archer has a new episode airing on September 16th, 2020 (PDT). It has a high IMDb audience rating of 8.6 (133,667 votes) and was very well received by critics."/>
    <s v="11Seasons"/>
    <x v="37"/>
  </r>
  <r>
    <x v="79"/>
    <x v="23"/>
    <x v="2"/>
    <n v="8.9"/>
    <n v="88"/>
    <x v="2"/>
    <s v="Twin brother and sister Dipper and Mabel Pines are in for an unexpected adventure when they spend the summer helping their great uncle Stan run a tourist trap in the mysterious town of Gravity Falls, Oregon.Gravity Falls featuring Kristen Schaal and Jessica DiCicco has one or more episodes streaming with subscription on Hulu, streaming with subscription on Disney+, available for purchase on iTunes, and 5 others. It's an action &amp; adventure and animation show with 41 episodes over 2 seasons. Gravity Falls is no longer running and has no plans to air new episodes or seasons. It has a high IMDb audience rating of 8.9 (67,723 votes) and was very well received by critics."/>
    <s v="2Seasons"/>
    <x v="38"/>
  </r>
  <r>
    <x v="80"/>
    <x v="24"/>
    <x v="1"/>
    <n v="8.6999999999999993"/>
    <n v="88"/>
    <x v="32"/>
    <s v="The story of a wealthy family that lost everything, and the one son who had no choice but to keep them all together.Arrested Development featuring Jason Bateman and Portia de Rossi has one or more episodes streaming with subscription on Netflix, streaming with subscription on Hulu, available for purchase on iTunes, and 4 others. It's a comedy show with 91 episodes over 5 seasons. Arrested Development is still airing with no announced date for the next episode or season. It has a high IMDb audience rating of 8.7 (271,138 votes) and was well received by critics."/>
    <s v="5Seasons"/>
    <x v="39"/>
  </r>
  <r>
    <x v="81"/>
    <x v="2"/>
    <x v="1"/>
    <n v="8"/>
    <n v="88"/>
    <x v="33"/>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The Blacklist featuring James Spader and Megan Boone has one or more episodes streaming with subscription on Netflix, free on NBC, streaming with subscription on fuboTV, and 6 others. It's an action &amp; adventure and crime show with 153 episodes over 7 seasons. The Blacklist is still airing with no announced date for the next episode or season. It has a high IMDb audience rating of 8.0 (185,473 votes) and was very well received by critics."/>
    <s v="7Seasons"/>
    <x v="32"/>
  </r>
  <r>
    <x v="82"/>
    <x v="14"/>
    <x v="1"/>
    <n v="8.3000000000000007"/>
    <n v="88"/>
    <x v="34"/>
    <s v="A security consultant hunts for a ruthless assassin. Equally obsessed with each other, they go head to head in an epic game of cat-and-mouse.Killing Eve featuring Sandra Oh and Jodie Comer has one or more episodes streaming with subscription on Hulu, streaming via tv everywhere with BBC America (Via Cable/Satellite Provider), available for purchase on iTunes, and 5 others. It's an action &amp; adventure and crime show with 24 episodes over 3 seasons. Killing Eve is still airing with no announced date for the next episode or season. It has a high IMDb audience rating of 8.3 (79,052 votes) and was very well received by critics."/>
    <s v="3Seasons"/>
    <x v="40"/>
  </r>
  <r>
    <x v="83"/>
    <x v="7"/>
    <x v="0"/>
    <n v="8.9"/>
    <n v="87"/>
    <x v="35"/>
    <s v="A half-hour satirical look at the week in news, politics and current events.Last Week Tonight with John Oliver featuring John Oliver and David Kaye has one or more episodes streaming with subscription on HBO MAX, streaming on HBO, available for purchase on Google Play, and 3 others. It's a comedy show with 206 episodes over 7 seasons. Last Week Tonight with John Oliver has a new episode airing on September 27th, 2020 (PDT). It has a high IMDb audience rating of 8.9 (76,412 votes) and was very well received by critics."/>
    <s v="7 Seasons"/>
    <x v="1"/>
  </r>
  <r>
    <x v="84"/>
    <x v="14"/>
    <x v="0"/>
    <n v="8.6999999999999993"/>
    <n v="87"/>
    <x v="27"/>
    <s v="A link in their pasts leads an honest cop to a fugitive gang boss, whose cryptic warning spurs the officer on a quest to save Mumbai from cataclysm.Sacred Games featuring Pankaj Tripathi and Saif Ali Khan has one or more episodes streaming with subscription on Netflix. It's an action &amp; adventure and crime show with 16 episodes over 2 seasons. Sacred Games is still airing with no announced date for the next episode or season. It has a high IMDb audience rating of 8.7 (69,901 votes) and was very well received by critics."/>
    <s v="2 Seasons"/>
    <x v="0"/>
  </r>
  <r>
    <x v="85"/>
    <x v="2"/>
    <x v="0"/>
    <n v="8.1"/>
    <n v="87"/>
    <x v="19"/>
    <s v="A crime she committed in her youthful past sends Piper Chapman to a women's prison, where she trades her comfortable New York life for one of unexpected camaraderie and conflict in an eccentric group of fellow inmates.Orange Is the New Black featuring Taylor Schilling and Laura Prepon has one or more episodes streaming with subscription on Netflix, available for purchase on iTunes, available for purchase on Google Play, and 4 others. It's a comedy and crime show with 92 episodes over 7 seasons. Orange Is the New Black is no longer running and has no plans to air new episodes or seasons. It has a high IMDb audience rating of 8.1 (274,327 votes) and was very well received by critics."/>
    <s v="7 Seasons"/>
    <x v="0"/>
  </r>
  <r>
    <x v="86"/>
    <x v="14"/>
    <x v="0"/>
    <n v="8.5"/>
    <n v="87"/>
    <x v="36"/>
    <s v="Follow the violent world of the Dutton family, who controls the largest contiguous ranch in the United States. Led by their patriarch John Dutton, the family defends their property against constant attack by land developers, an Indian reservation, and America’s first National Park.Yellowstone featuring Kevin Costner and Kelly Reilly has one or more episodes streaming with subscription on fuboTV, free on Peacock, streaming with subscription on Peacock Premium, and 6 others. It's a drama show with 29 episodes over 3 seasons. Yellowstone is still airing with no announced date for the next episode or season. It has a high IMDb audience rating of 8.5 (21,639 votes) and was well received by critics."/>
    <s v="3Seasons"/>
    <x v="41"/>
  </r>
  <r>
    <x v="87"/>
    <x v="7"/>
    <x v="0"/>
    <n v="8.5"/>
    <n v="87"/>
    <x v="22"/>
    <s v="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Silicon Valley featuring Thomas Middleditch and Zach Woods has one or more episodes streaming with subscription on HBO MAX, streaming on HBO, available for purchase on iTunes, and 4 others. It's a comedy and drama show with 53 episodes over 6 seasons. Silicon Valley is no longer running and has no plans to air new episodes or seasons. It has a high IMDb audience rating of 8.5 (122,100 votes) and was very well received by critics."/>
    <s v="6Seasons"/>
    <x v="1"/>
  </r>
  <r>
    <x v="88"/>
    <x v="4"/>
    <x v="0"/>
    <n v="8.4"/>
    <n v="87"/>
    <x v="37"/>
    <s v="A group of high school students navigate love and friendships in a world of drugs, sex, trauma, and social media.Euphoria featuring Zendaya and Hunter Schafer has one or more episodes streaming with subscription on HBO MAX, streaming on HBO, available for purchase on Google Play, and 2 others. It's a drama and LGBTQ show with 8 episodes over 1 season. Euphoria is still airing with no announced date for the next episode or season. It has a high IMDb audience rating of 8.4 (47,556 votes) and was well received by critics."/>
    <s v="1 Season"/>
    <x v="1"/>
  </r>
  <r>
    <x v="89"/>
    <x v="25"/>
    <x v="1"/>
    <n v="8.6"/>
    <n v="87"/>
    <x v="12"/>
    <s v="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he X-Files featuring Gillian Anderson and David Duchovny has one or more episodes streaming with subscription on Hulu, streaming via tv everywhere with BBC America (Via Cable/Satellite Provider), free on FOX, and 7 others. It's a drama and fantasy show with 219 episodes over 11 seasons. The X-Files is no longer running and has no plans to air new episodes or seasons. It has a high IMDb audience rating of 8.6 (194,182 votes) and was well received by critics."/>
    <s v="11Seasons"/>
    <x v="42"/>
  </r>
  <r>
    <x v="90"/>
    <x v="7"/>
    <x v="2"/>
    <n v="7.7"/>
    <n v="87"/>
    <x v="27"/>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he Flash featuring Grant Gustin and Candice Patton has one or more episodes streaming with subscription on Netflix, free on The CW, available for purchase on iTunes, and 4 others. It's an action &amp; adventure and crime show with 135 episodes over 6 seasons. The Flash is still airing with no announced date for the next episode or season. It has a high IMDb audience rating of 7.7 (299,826 votes) and was well received by critics."/>
    <s v="6Seasons"/>
    <x v="21"/>
  </r>
  <r>
    <x v="91"/>
    <x v="6"/>
    <x v="0"/>
    <n v="8.6"/>
    <n v="87"/>
    <x v="6"/>
    <s v="A character drama based on the 2001 Elmore Leonard short story &quot;Fire in the Hole.&quot; Leonard's tale centers around U.S. Marshal Raylan Givens of Kentucky, a quiet but strong-willed official of the law. The tale covers his high-stakes job, as well as his strained relationships with his ex-wife and father.Justified featuring Timothy Olyphant and Walton Goggins has one or more episodes streaming with subscription on Hulu, available for purchase on iTunes, available for purchase on Google Play, and 2 others. It's an action &amp; adventure and comedy show with 78 episodes over 6 seasons. Justified is no longer running and has no plans to air new episodes or seasons. It has a high IMDb audience rating of 8.6 (83,711 votes) and was very well received by critics."/>
    <s v="6 Seasons"/>
    <x v="4"/>
  </r>
  <r>
    <x v="92"/>
    <x v="2"/>
    <x v="0"/>
    <n v="8.4"/>
    <n v="87"/>
    <x v="38"/>
    <s v="Set during the Cold War period in the 1980s, The Americans is the story of Elizabeth and Philip Jennings, two Soviet KGB officers posing as an American married couple in the suburbs of Washington D.C. and their neighbor, Stan Beeman, an FBI Counterintelligence agent.The Americans featuring Keri Russell and Matthew Rhys has one or more episodes streaming with subscription on Prime Video, available for purchase on iTunes, available for purchase on Google Play, and 4 others. It's an action &amp; adventure and crime show with 75 episodes over 6 seasons. The Americans is no longer running and has no plans to air new episodes or seasons. It has a high IMDb audience rating of 8.4 (80,394 votes) and was very well received by critics."/>
    <s v="6Seasons"/>
    <x v="3"/>
  </r>
  <r>
    <x v="93"/>
    <x v="3"/>
    <x v="1"/>
    <n v="8.6999999999999993"/>
    <n v="87"/>
    <x v="23"/>
    <s v="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his Is Us featuring Sterling K. Brown and Chrissy Metz has one or more episodes streaming with subscription on Hulu, streaming via tv everywhere with NBC (Via Cable/Satellite Provider), free on NBC, and 7 others. It's a comedy and drama show with 73 episodes over 4 seasons. This Is Us is still airing with no announced date for the next episode or season. It has a high IMDb audience rating of 8.7 (96,593 votes) and was very well received by critics."/>
    <s v="4 Seasons"/>
    <x v="43"/>
  </r>
  <r>
    <x v="94"/>
    <x v="6"/>
    <x v="2"/>
    <n v="8.6"/>
    <n v="87"/>
    <x v="39"/>
    <s v="Hook up with Finn and Jake as they travel the Land of Ooo searching for adventure. But remember, adventure isn’t always easy. Sometimes you’ve got to battle fire gnomes that torture old ladies, save a smelly hot dog princess from the Ice King, and thaw out a bunch of frozen businessmen. What the cabbage?!Adventure Time featuring Jeremy Shada and John DiMaggio has one or more episodes streaming with subscription on HBO MAX, streaming with subscription on Hulu, streaming via tv everywhere with Cartoon Network, and 6 others. It's an action &amp; adventure and animation show with 320 episodes over 11 seasons. Adventure Time is no longer running and has no plans to air new episodes or seasons. It has a high IMDb audience rating of 8.6 (73,759 votes) and was very well received by critics."/>
    <s v="11Seasons"/>
    <x v="2"/>
  </r>
  <r>
    <x v="95"/>
    <x v="7"/>
    <x v="0"/>
    <n v="8.6999999999999993"/>
    <n v="87"/>
    <x v="2"/>
    <s v="Meet the most beloved sitcom horse of the 90s - 20 years later. BoJack Horseman was the star of the hit TV show &quot;Horsin' Around,&quot; but today he's washed up, living in Hollywood, complaining about everything, and wearing colorful sweaters.BoJack Horseman featuring Will Arnett and Aaron Paul has one or more episodes streaming with subscription on Netflix. It's an animation and comedy show with 77 episodes over 6 seasons. BoJack Horseman is no longer running and has no plans to air new episodes or seasons. It has a high IMDb audience rating of 8.7 (103,196 votes) and was very well received by critics."/>
    <s v="6Seasons"/>
    <x v="0"/>
  </r>
  <r>
    <x v="96"/>
    <x v="5"/>
    <x v="0"/>
    <n v="8.6999999999999993"/>
    <n v="87"/>
    <x v="25"/>
    <s v="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he Marvelous Mrs. Maisel featuring Rachel Brosnahan and Alex Borstein has one or more episodes streaming with subscription on Prime Video. It's a comedy and drama show with 26 episodes over 3 seasons. The Marvelous Mrs. Maisel is still airing with no announced date for the next episode or season. It has a high IMDb audience rating of 8.7 (72,473 votes) and was very well received by critics."/>
    <s v="3Seasons"/>
    <x v="3"/>
  </r>
  <r>
    <x v="97"/>
    <x v="5"/>
    <x v="0"/>
    <n v="8.1"/>
    <n v="87"/>
    <x v="4"/>
    <s v="James is 17 and is pretty sure he is a psychopath. Alyssa, also 17, is the cool and moody new girl at school. The pair make a connection and she persuades him to embark on a darkly comedic road trip in search of her real father.The End of the F***ing World featuring Alex Lawther and Jessica Barden has one or more episodes streaming with subscription on Netflix, available for purchase on Google Play, available for purchase on Prime Video, and 2 others. It's an action &amp; adventure and comedy show with 16 episodes over 2 seasons. The End of the F***ing World is no longer running and has no plans to air new episodes or seasons. It has a high IMDb audience rating of 8.1 (135,357 votes) and was very well received by critics."/>
    <s v="2 Seasons"/>
    <x v="0"/>
  </r>
  <r>
    <x v="98"/>
    <x v="5"/>
    <x v="0"/>
    <n v="8.5"/>
    <n v="87"/>
    <x v="0"/>
    <s v="The tale of three mothers of first graders whose apparently perfect lives unravel to the point of murder.Big Little Lies featuring Nicole Kidman and Reese Witherspoon has one or more episodes streaming with subscription on HBO MAX, streaming on HBO, available for purchase on iTunes, and 4 others. It's a comedy and crime show with 14 episodes over 2 seasons. Big Little Lies is no longer running and has no plans to air new episodes or seasons. It has a high IMDb audience rating of 8.5 (145,406 votes) and was very well received by critics."/>
    <s v="2Seasons"/>
    <x v="1"/>
  </r>
  <r>
    <x v="99"/>
    <x v="6"/>
    <x v="0"/>
    <n v="8.5"/>
    <n v="86"/>
    <x v="0"/>
    <s v="A dark psychological crime drama starring Idris Elba as Luther, a man struggling with his own terrible demons, who might be as dangerous as the depraved murderers he hunts.Luther featuring Idris Elba and Ruth Wilson has one or more episodes streaming with subscription on HBO MAX, streaming with subscription on Prime Video, streaming on Starz, and 7 others. It's a comedy and crime show with 20 episodes over 5 seasons. Luther is still airing with no announced date for the next episode or season. It has a high IMDb audience rating of 8.5 (117,282 votes) and was well received by critics."/>
    <s v="5Seasons"/>
    <x v="44"/>
  </r>
  <r>
    <x v="100"/>
    <x v="26"/>
    <x v="0"/>
    <n v="8.6999999999999993"/>
    <n v="86"/>
    <x v="40"/>
    <s v="The off-kilter, unscripted comic vision of Larry David, who plays himself in a parallel universe in which he can't seem to do anything right, and, by his standards, neither can anyone else.Curb Your Enthusiasm featuring Larry David and Jeff Garlin has one or more episodes streaming with subscription on HBO MAX, streaming on HBO, available for purchase on iTunes, and 5 others. It's a comedy show with 122 episodes over 10 seasons. Curb Your Enthusiasm is still airing with no announced date for the next episode or season. It has a high IMDb audience rating of 8.7 (98,886 votes) and was very well received by critics."/>
    <s v="10 Seasons"/>
    <x v="1"/>
  </r>
  <r>
    <x v="101"/>
    <x v="3"/>
    <x v="0"/>
    <n v="8.4"/>
    <n v="86"/>
    <x v="41"/>
    <s v="An anthology series centered around some of history's most famous criminals.American Crime Story featuring Darren Criss and Edgar Ramírez has one or more episodes streaming with subscription on Netflix, available for purchase on iTunes, available for purchase on Google Play, and 3 others. It's a biography and crime show with 19 episodes over 2 seasons. American Crime Story has a new episode airing on September 27th, 2020 (PDT). It has a high IMDb audience rating of 8.4 (77,103 votes) and was very well received by critics."/>
    <s v="2Seasons"/>
    <x v="0"/>
  </r>
  <r>
    <x v="102"/>
    <x v="4"/>
    <x v="0"/>
    <n v="8.4"/>
    <n v="86"/>
    <x v="0"/>
    <s v="A teenager is charged with lying about her rape allegation, but two determined investigative female detectives discover a far more sinister truth.Unbelievable featuring Kaitlyn Dever and Toni Collette has one or more episodes streaming with subscription on Netflix. It's a crime and drama show with 8 episodes over 1 season. Unbelievable is no longer running and has no plans to air new episodes or seasons. It has a high IMDb audience rating of 8.4 (63,705 votes) and was very well received by critics."/>
    <s v="1Season"/>
    <x v="0"/>
  </r>
  <r>
    <x v="103"/>
    <x v="6"/>
    <x v="0"/>
    <n v="8.5"/>
    <n v="86"/>
    <x v="0"/>
    <s v="Atlantic City at the dawn of Prohibition is a place where the rules don't apply. And the man who runs things -- legally and otherwise -- is the town's treasurer, Enoch &quot;Nucky&quot; Thompson, who is equal parts politician and gangster.Boardwalk Empire featuring Steve Buscemi and Stephen Graham has one or more episodes streaming with subscription on HBO MAX, streaming on HBO, available for purchase on iTunes, and 4 others. It's a crime and drama show with 56 episodes over 5 seasons. Boardwalk Empire is no longer running and has no plans to air new episodes or seasons. It has a high IMDb audience rating of 8.5 (168,640 votes) and was very well received by critics."/>
    <s v="5 Seasons"/>
    <x v="1"/>
  </r>
  <r>
    <x v="104"/>
    <x v="2"/>
    <x v="0"/>
    <n v="8.3000000000000007"/>
    <n v="86"/>
    <x v="17"/>
    <s v="A streetwise hustler is pulled into a compelling conspiracy after witnessing the suicide of a girl who looks just like her.Orphan Black featuring Tatiana Maslany and Jordan Gavaris has one or more episodes streaming with subscription on Prime Video, streaming via tv everywhere with BBC America (Via Cable/Satellite Provider), available for purchase on iTunes, and 4 others. It's an action &amp; adventure and drama show with 51 episodes over 5 seasons. Orphan Black is no longer running and has no plans to air new episodes or seasons. It has a high IMDb audience rating of 8.3 (98,896 votes) and was very well received by critics."/>
    <s v="5Seasons"/>
    <x v="45"/>
  </r>
  <r>
    <x v="105"/>
    <x v="11"/>
    <x v="0"/>
    <n v="8.4"/>
    <n v="86"/>
    <x v="42"/>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he Last Kingdom featuring Alexander Dreymon and Emily Cox has one or more episodes streaming with subscription on Netflix, available for purchase on iTunes, available for purchase on Google Play, and 3 others. It's an action &amp; adventure and drama show with 40 episodes over 4 seasons. The Last Kingdom is still airing with no announced date for the next episode or season. It has a high IMDb audience rating of 8.4 (76,702 votes) and was very well received by critics."/>
    <s v="4Seasons"/>
    <x v="0"/>
  </r>
  <r>
    <x v="106"/>
    <x v="8"/>
    <x v="0"/>
    <n v="8.6999999999999993"/>
    <n v="86"/>
    <x v="1"/>
    <s v="A down-to-earth account of the lives of both illustrious and ordinary Romans set in the last days of the Roman Republic.Rome featuring Kevin McKidd and Ray Stevenson has one or more episodes streaming with subscription on HBO MAX, streaming on HBO, available for purchase on iTunes, and 4 others. It's an action &amp; adventure and drama show with 22 episodes over 2 seasons. Rome is no longer running and has no plans to air new episodes or seasons. It has a high IMDb audience rating of 8.7 (151,248 votes) and was well received by critics."/>
    <s v="2Seasons"/>
    <x v="1"/>
  </r>
  <r>
    <x v="107"/>
    <x v="27"/>
    <x v="2"/>
    <n v="9"/>
    <n v="86"/>
    <x v="7"/>
    <s v="Batman: The Animated Series is an American animated television series based on the DC Comics superhero Batman. The series was widely praised for its thematic complexity, dark tone, artistic quality, and faithfulness to its title character's crime-fighting origins.Batman: The Animated Series featuring Kevin Conroy and Efrem Zimbalist Jr. has one or more episodes streaming with subscription on DC Universe, available for purchase on iTunes, available for purchase on Google Play, and 4 others. It's an action &amp; adventure and animation show with 114 episodes over 5 seasons. Batman: The Animated Series is no longer running and has no plans to air new episodes or seasons. It has a high IMDb audience rating of 9.0 (84,276 votes) and was very well received by critics."/>
    <s v="5Seasons"/>
    <x v="46"/>
  </r>
  <r>
    <x v="108"/>
    <x v="11"/>
    <x v="0"/>
    <n v="8.3000000000000007"/>
    <n v="86"/>
    <x v="37"/>
    <s v="One gunshot, one death, one moment out of time that irrevocably links eight minds in disparate parts of the world, putting them in each other's lives, each other's secrets, and in terrible danger. Ordinary people suddenly reborn as &quot;Sensates.&quot;Sense8 featuring Miguel Ángel Silvestre and Max Riemelt has one or more episodes streaming with subscription on Netflix. It's a drama and fantasy show with 24 episodes over 2 seasons. Sense8 is no longer running and has no plans to air new episodes or seasons. It has a high IMDb audience rating of 8.3 (135,232 votes) and was well received by critics."/>
    <s v="2Seasons"/>
    <x v="0"/>
  </r>
  <r>
    <x v="109"/>
    <x v="12"/>
    <x v="0"/>
    <n v="8.6999999999999993"/>
    <n v="86"/>
    <x v="23"/>
    <s v="A darkly comic look at members of a dysfunctional L.A. family that run a funeral business. When death is your business, what is your life? For the Fisher family, the world outside of their family-owned funeral home continues to be at least as challenging as--and far less predictable than--the one inside.Six Feet Under featuring Peter Krause and Michael C. Hall has one or more episodes streaming with subscription on HBO MAX, streaming on HBO, streaming with subscription on Prime Video, and 6 others. It's a comedy and drama show with 63 episodes over 5 seasons. Six Feet Under is no longer running and has no plans to air new episodes or seasons. It has a high IMDb audience rating of 8.7 (118,067 votes) and was well received by critics."/>
    <s v="5Seasons"/>
    <x v="47"/>
  </r>
  <r>
    <x v="110"/>
    <x v="7"/>
    <x v="0"/>
    <n v="8.1999999999999993"/>
    <n v="86"/>
    <x v="43"/>
    <s v="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Penny Dreadful featuring Eva Green and Josh Hartnett has one or more episodes streaming with subscription on Netflix, streaming on Showtime, streaming with subscription on fuboTV, and 6 others. It's a drama and fantasy show with 27 episodes over 3 seasons. Penny Dreadful is no longer running and has no plans to air new episodes or seasons. It has a high IMDb audience rating of 8.2 (109,491 votes) and was very well received by critics."/>
    <s v="3 Seasons"/>
    <x v="23"/>
  </r>
  <r>
    <x v="111"/>
    <x v="21"/>
    <x v="1"/>
    <n v="8.6"/>
    <n v="86"/>
    <x v="28"/>
    <s v="Marianne and Connell weave in and out of each other’s lives in this exploration of sex, power and the desire to love and be loved. Adaptation of Sally Rooney’s best-selling novel.Normal People featuring Daisy Edgar-Jones and Paul Mescal has one or more episodes streaming with subscription on Hulu. It's a comedy and drama show with 12 episodes over 1 season. Normal People is no longer running and has no plans to air new episodes or seasons. It has a high IMDb audience rating of 8.6 (25,651 votes) and was very well received by critics."/>
    <s v="1Season"/>
    <x v="4"/>
  </r>
  <r>
    <x v="112"/>
    <x v="12"/>
    <x v="1"/>
    <n v="8.3000000000000007"/>
    <n v="86"/>
    <x v="22"/>
    <s v="In the unreal world of Sacred Heart Hospital, John &quot;J.D&quot; Dorian learns the ways of medicine, friendship and life.Scrubs featuring Zach Braff and Donald Faison has one or more episodes streaming with subscription on Hulu, streaming via tv everywhere with Comedy Central (Via Cable/Satellite Provider), available for purchase on iTunes, and 3 others. It's a comedy and drama show with 183 episodes over 9 seasons. Scrubs is no longer running and has no plans to air new episodes or seasons. It has a high IMDb audience rating of 8.3 (233,093 votes) and was well received by critics."/>
    <s v="9Seasons"/>
    <x v="48"/>
  </r>
  <r>
    <x v="113"/>
    <x v="17"/>
    <x v="1"/>
    <n v="8.5"/>
    <n v="86"/>
    <x v="44"/>
    <s v="UK Comedy series about two I.T. nerds and their clueless female manager, who work in the basement of a very successful company. When they are called on for help, they are never treated with any respect at all.The IT Crowd featuring Chris O'Dowd and Richard Ayoade has one or more episodes streaming with subscription on Netflix, free on Tubi, available for purchase on iTunes, and 3 others. It's a comedy show with 25 episodes over 5 seasons. The IT Crowd is no longer running and has no plans to air new episodes or seasons. It has a high IMDb audience rating of 8.5 (129,562 votes) and was well received by critics."/>
    <s v="5Seasons"/>
    <x v="21"/>
  </r>
  <r>
    <x v="114"/>
    <x v="1"/>
    <x v="2"/>
    <n v="7.7"/>
    <n v="86"/>
    <x v="3"/>
    <s v="There is a town in Maine where every story book character you've ever known is trapped between two worlds, victims of a powerful curse. Only one knows the truth and only one can break the spell. 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Once Upon a Time featuring Lana Parrilla and Colin O'Donoghue has one or more episodes streaming with subscription on Netflix, available for purchase on iTunes, available for purchase on Google Play, and 3 others. It's an action &amp; adventure and drama show with 156 episodes over 7 seasons. Once Upon a Time is no longer running and has no plans to air new episodes or seasons. It has a high IMDb audience rating of 7.7 (204,803 votes) and was well received by critics."/>
    <s v="7Seasons"/>
    <x v="0"/>
  </r>
  <r>
    <x v="115"/>
    <x v="28"/>
    <x v="2"/>
    <n v="8.6"/>
    <n v="86"/>
    <x v="1"/>
    <s v="Follow the intergalactic adventures of Capt. Jean-Luc Picard and his loyal crew aboard the all-new USS Enterprise NCC-1701D, as they explore new worlds.Star Trek: The Next Generation featuring Patrick Stewart and Jonathan Frakes has one or more episodes streaming with subscription on Netflix, streaming with subscription on Prime Video, streaming with subscription on Hulu, and 6 others. It's an action &amp; adventure and drama show with 181 episodes over 7 seasons. Star Trek: The Next Generation is no longer running and has no plans to air new episodes or seasons. It has a high IMDb audience rating of 8.6 (97,096 votes) and was very well received by critics."/>
    <s v="7 Seasons"/>
    <x v="49"/>
  </r>
  <r>
    <x v="116"/>
    <x v="2"/>
    <x v="0"/>
    <n v="8.4"/>
    <n v="86"/>
    <x v="0"/>
    <s v="The murder of a young boy in a small coastal town brings a media frenzy, which threatens to tear the community apart.Broadchurch featuring David Tennant and Olivia Colman has one or more episodes streaming with subscription on Netflix, available for purchase on iTunes, available for purchase on Google Play, and 3 others. It's a crime and drama show with 24 episodes over 3 seasons. Broadchurch is no longer running and has no plans to air new episodes or seasons. It has a high IMDb audience rating of 8.4 (88,366 votes) and was very well received by critics."/>
    <s v="3Seasons"/>
    <x v="0"/>
  </r>
  <r>
    <x v="117"/>
    <x v="29"/>
    <x v="3"/>
    <n v="8.8000000000000007"/>
    <n v="86"/>
    <x v="28"/>
    <s v="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Pride and Prejudice featuring Colin Firth and Jennifer Ehle has one or more episodes streaming with subscription on HBO MAX, streaming with subscription on Hulu, streaming on BritBox, and 5 others. It's a drama and romance show with 6 episodes over 1 season. Pride and Prejudice is no longer running and has no plans to air new episodes or seasons. It has a high IMDb audience rating of 8.8 (73,709 votes) and was well received by critics."/>
    <s v="1Season"/>
    <x v="50"/>
  </r>
  <r>
    <x v="118"/>
    <x v="23"/>
    <x v="1"/>
    <n v="7.5"/>
    <n v="86"/>
    <x v="27"/>
    <s v="Spoiled billionaire playboy Oliver Queen is missing and presumed dead when his yacht is lost at sea. He returns five years later a changed man, determined to clean up the city as a hooded vigilante armed with a bow.Arrow featuring Stephen Amell and David Ramsey has one or more episodes streaming with subscription on Netflix, free on The CW, available for purchase on iTunes, and 3 others. It's an action &amp; adventure and crime show with 172 episodes over 8 seasons. Arrow is no longer running and has no plans to air new episodes or seasons. It has a better than average IMDb audience rating of 7.5 (402,268 votes) and was well received by critics."/>
    <s v="8Seasons"/>
    <x v="21"/>
  </r>
  <r>
    <x v="119"/>
    <x v="20"/>
    <x v="1"/>
    <n v="8.1999999999999993"/>
    <n v="86"/>
    <x v="4"/>
    <s v="When Buy More computer geek Chuck Bartowski unwittingly downloads a database of government information and deadly fighting skills into his head, he becomes the CIA's most vital secret. This sets Chuck on a path to become a full-fledged spy.Chuck featuring Zachary Levi and Yvonne Strahovski has one or more episodes streaming with subscription on Prime Video, available for purchase on iTunes, available for purchase on Google Play, and 4 others. It's an action &amp; adventure and comedy show with 91 episodes over 5 seasons. Chuck is no longer running and has no plans to air new episodes or seasons. It has a high IMDb audience rating of 8.2 (125,627 votes) and was very well received by critics."/>
    <s v="5Seasons"/>
    <x v="3"/>
  </r>
  <r>
    <x v="120"/>
    <x v="3"/>
    <x v="3"/>
    <n v="9.5"/>
    <n v="86"/>
    <x v="45"/>
    <s v="David Attenborough presents a documentary series exploring how animals meet the challenges of surviving in the most iconic habitats on earth.Planet Earth II featuring David Attenborough has one or more episodes streaming via tv everywhere with BBC America (Via Cable/Satellite Provider), available for purchase on iTunes, available for purchase on Google Play, and 3 others. It's a documentary show with 7 episodes over 1 season. Planet Earth II is no longer running and has no plans to air new episodes or seasons. It has a very high IMDb audience rating of 9.5 (91,536 votes) and was very well received by critics."/>
    <s v="1Season"/>
    <x v="51"/>
  </r>
  <r>
    <x v="121"/>
    <x v="12"/>
    <x v="1"/>
    <n v="8.3000000000000007"/>
    <n v="86"/>
    <x v="1"/>
    <s v="24 is an American television series produced for the Fox network and syndicated worldwide, starring Kiefer Sutherland as Counter Terrorist Unit agent Jack Bauer. Each 24-episode season covers 24 hours in the life of Bauer, using the real time method of narration.24 featuring Kiefer Sutherland and Mary Lynn Rajskub has one or more episodes streaming with subscription on Hulu, available for purchase on iTunes, available for purchase on Google Play, and 4 others. It's an action &amp; adventure and crime show with 205 episodes over 9 seasons. 24 is no longer running and has no plans to air new episodes or seasons. It has a high IMDb audience rating of 8.3 (168,700 votes) and was well received by critics."/>
    <s v="9 Seasons"/>
    <x v="4"/>
  </r>
  <r>
    <x v="122"/>
    <x v="4"/>
    <x v="0"/>
    <n v="8.5"/>
    <n v="85"/>
    <x v="46"/>
    <s v="A documentary-style look into the daily (or rather, nightly) lives of three vampires in Staten Island who have “lived” together for hundreds and hundreds of years.What We Do in the Shadows featuring Kayvan Novak and Matt Berry has one or more episodes streaming with subscription on Hulu, available for purchase on Google Play, available for purchase on VUDU, and 1 other. It's a comedy and fantasy show with 20 episodes over 2 seasons. What We Do in the Shadows is still airing with no announced date for the next episode or season. It has a high IMDb audience rating of 8.5 (30,296 votes) and was very well received by critics."/>
    <s v="2Seasons"/>
    <x v="4"/>
  </r>
  <r>
    <x v="123"/>
    <x v="3"/>
    <x v="0"/>
    <n v="8.5"/>
    <n v="85"/>
    <x v="38"/>
    <s v="After a night of partying with a female stranger, a man wakes up to find her stabbed to death and is charged with her murder.The Night Of featuring Riz Ahmed and John Turturro has one or more episodes streaming with subscription on HBO MAX, streaming on HBO, and available for purchase on VUDU. It's a crime and drama show with 8 episodes over 1 season. The Night Of is no longer running and has no plans to air new episodes or seasons. It has a high IMDb audience rating of 8.5 (113,905 votes) and was very well received by critics."/>
    <s v="1Season"/>
    <x v="1"/>
  </r>
  <r>
    <x v="124"/>
    <x v="18"/>
    <x v="2"/>
    <n v="8.1999999999999993"/>
    <n v="85"/>
    <x v="4"/>
    <s v="Into every generation a slayer is born: one girl in all the world, a chosen one. She alone will wield the strength and skill to fight the vampires, demons, and the forces of darkness; to stop the spread of their evil and the swell of their number. She is the Slayer.Buffy the Vampire Slayer featuring Sarah Michelle Gellar and Alyson Hannigan has one or more episodes streaming with subscription on Hulu, available for purchase on iTunes, available for purchase on Google Play, and 4 others. It's an action &amp; adventure and comedy show with 144 episodes over 7 seasons. Buffy the Vampire Slayer is no longer running and has no plans to air new episodes or seasons. It has a high IMDb audience rating of 8.2 (126,149 votes) and was well received by critics."/>
    <s v="7Seasons"/>
    <x v="4"/>
  </r>
  <r>
    <x v="125"/>
    <x v="19"/>
    <x v="1"/>
    <n v="8.1999999999999993"/>
    <n v="85"/>
    <x v="6"/>
    <s v="Neal Caffrey, a con man, forger and thief, is captured after a three-year game of cat and mouse with the FBI. With only months left serving a four-year sentence, he escapes to look for Kate, his girlfriend. Peter Burke, the FBI agent who initially captured Caffrey, finds and returns him to prison. This time, Caffrey proposes a deal with the FBI, as part of a work-release program. After some hesitation, Burke agrees, and thus begins this unconventional arrangement where Caffrey helps Burke apprehend white collar criminals.White Collar featuring Matt Bomer and Tim DeKay has one or more episodes streaming with subscription on Hulu, free on IMDb TV, available for purchase on iTunes, and 4 others. It's an action &amp; adventure and comedy show with 81 episodes over 6 seasons. White Collar is no longer running and has no plans to air new episodes or seasons. It has a high IMDb audience rating of 8.2 (115,930 votes) and was very well received by critics."/>
    <s v="6Seasons"/>
    <x v="17"/>
  </r>
  <r>
    <x v="126"/>
    <x v="3"/>
    <x v="0"/>
    <n v="8.4"/>
    <n v="85"/>
    <x v="47"/>
    <s v="A complex drama about power politics in the world of New York high finance. Shrewd, savvy U.S. Attorney Chuck Rhoades and the brilliant, ambitious hedge fund king Bobby &quot;Axe&quot; Axelrod are on an explosive collision course, with each using all of his considerable smarts, power and influence to outmaneuver the other. The stakes are in the billions in this timely, provocative series.Billions featuring Paul Giamatti and Damian Lewis has one or more episodes streaming on Showtime, free on Showtime FREEview, streaming with subscription on fuboTV, and 6 others. It's a drama show with 60 episodes over 5 seasons. Billions is still airing with no announced date for the next episode or season. It has a high IMDb audience rating of 8.4 (66,463 votes) and was well received by critics."/>
    <s v="5Seasons"/>
    <x v="31"/>
  </r>
  <r>
    <x v="127"/>
    <x v="16"/>
    <x v="1"/>
    <n v="8.8000000000000007"/>
    <n v="85"/>
    <x v="48"/>
    <s v="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he West Wing featuring Martin Sheen and Allison Janney has one or more episodes streaming with subscription on Netflix, available for purchase on iTunes, available for purchase on Google Play, and 3 others. It's a drama show with 155 episodes over 7 seasons. The West Wing is no longer running and has no plans to air new episodes or seasons. It has a high IMDb audience rating of 8.8 (60,875 votes) and was well received by critics."/>
    <s v="7Seasons"/>
    <x v="0"/>
  </r>
  <r>
    <x v="128"/>
    <x v="4"/>
    <x v="0"/>
    <n v="8.5"/>
    <n v="85"/>
    <x v="49"/>
    <s v="Terrifying creatures, wicked surprises and dark comedy converge in this NSFW anthology of animated stories presented by Tim Miller and David Fincher.Love, Death &amp; Robots has one or more episodes streaming with subscription on Netflix. It's an animation and comedy show with 18 episodes over 1 season. Love, Death &amp; Robots is still airing with no announced date for the next episode or season. It has a high IMDb audience rating of 8.5 (89,025 votes) and was well received by critics."/>
    <s v="1Season"/>
    <x v="0"/>
  </r>
  <r>
    <x v="129"/>
    <x v="5"/>
    <x v="1"/>
    <n v="8.3000000000000007"/>
    <n v="85"/>
    <x v="17"/>
    <s v="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Legion featuring Dan Stevens and Rachel Keller has one or more episodes streaming with subscription on Hulu, available for purchase on iTunes, available for purchase on Google Play, and 3 others. It's an action &amp; adventure and drama show with 27 episodes over 3 seasons. Legion is no longer running and has no plans to air new episodes or seasons. It has a high IMDb audience rating of 8.3 (80,602 votes) and was very well received by critics."/>
    <s v="3 Seasons"/>
    <x v="4"/>
  </r>
  <r>
    <x v="130"/>
    <x v="21"/>
    <x v="0"/>
    <n v="8.6"/>
    <n v="85"/>
    <x v="22"/>
    <s v="Ted Lasso, an American football coach, moves to England when he’s hired to manage a soccer team—despite having no experience. With cynical players and a doubtful town, will he get them to see the Ted Lasso Way?Ted Lasso featuring Jason Sudeikis and Hannah Waddingham has one or more episodes streaming with subscription on Apple TV+. It's a comedy and drama show with 7 episodes over 1 season. Ted Lasso has a new episode airing on September 17th, 2020 (PDT). It has a high IMDb audience rating of 8.6 (5,651 votes) and was well received by critics."/>
    <s v="1 Season"/>
    <x v="52"/>
  </r>
  <r>
    <x v="131"/>
    <x v="17"/>
    <x v="2"/>
    <n v="8.3000000000000007"/>
    <n v="85"/>
    <x v="10"/>
    <s v="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Psych featuring James Roday Rodriguez and Dulé Hill has one or more episodes streaming with subscription on Prime Video, free on IMDb TV, free on Peacock, and 4 others. It's a comedy and crime show with 122 episodes over 8 seasons. Psych is no longer running and has no plans to air new episodes or seasons. It has a high IMDb audience rating of 8.3 (83,014 votes) and was very well received by critics."/>
    <s v="8 Seasons"/>
    <x v="25"/>
  </r>
  <r>
    <x v="132"/>
    <x v="11"/>
    <x v="0"/>
    <n v="7.9"/>
    <n v="85"/>
    <x v="6"/>
    <s v="After a tragic ending to her short-lived super hero stint, Jessica Jones is rebuilding her personal life and career as a detective who gets pulled into cases involving people with extraordinary abilities in New York City.Marvel's Jessica Jones featuring Krysten Ritter and Rachael Taylor has one or more episodes streaming with subscription on Netflix, available for purchase on iTunes, available for purchase on Google Play, and 3 others. It's an action &amp; adventure and crime show with 39 episodes over 3 seasons. Marvel's Jessica Jones is no longer running and has no plans to air new episodes or seasons. It has a high IMDb audience rating of 7.9 (189,094 votes) and was well received by critics."/>
    <s v="3Seasons"/>
    <x v="0"/>
  </r>
  <r>
    <x v="133"/>
    <x v="4"/>
    <x v="0"/>
    <n v="8.4"/>
    <n v="85"/>
    <x v="1"/>
    <s v="In this zombie thriller set in Korea's medieval Joseon dynasty, a crown prince is sent on a suicide mission to investigate a mysterious outbreak.Kingdom featuring Ju Ji-hoon and Ryu Seung-ryong has one or more episodes streaming with subscription on Netflix. It's an action &amp; adventure and drama show with 12 episodes over 2 seasons. Kingdom is still airing with no announced date for the next episode or season. It has a high IMDb audience rating of 8.4 (26,193 votes) and was very well received by critics."/>
    <s v="2Seasons"/>
    <x v="0"/>
  </r>
  <r>
    <x v="134"/>
    <x v="30"/>
    <x v="2"/>
    <n v="9"/>
    <n v="85"/>
    <x v="50"/>
    <s v="A series of unrelated stories containing drama, psychological thriller, fantasy, science fiction, suspense, and/or horror, often concluding with a macabre or unexpected twist.The Twilight Zone featuring Rod Serling has one or more episodes streaming with subscription on Netflix, streaming with subscription on Hulu, streaming on CBS All Access, and 6 others. It's a drama and fantasy show with 157 episodes over 5 seasons. The Twilight Zone is no longer running and has no plans to air new episodes or seasons. It has a high IMDb audience rating of 9.0 (68,697 votes) and was well received by critics."/>
    <s v="5 Seasons"/>
    <x v="53"/>
  </r>
  <r>
    <x v="135"/>
    <x v="7"/>
    <x v="1"/>
    <n v="8.1"/>
    <n v="85"/>
    <x v="16"/>
    <s v="A sexy, suspense-driven legal thriller about a group of ambitious law students and their brilliant, mysterious criminal defense professor. They become entangled in a murder plot and will shake the entire university and change the course of their lives.How to Get Away with Murder featuring Viola Davis and Billy Brown has one or more episodes streaming with subscription on Netflix, streaming with subscription on Hulu, free on ABC, and 5 others. It's a crime and drama show with 90 episodes over 6 seasons. How to Get Away with Murder is no longer running and has no plans to air new episodes or seasons. It has a high IMDb audience rating of 8.1 (120,917 votes) and was well received by critics."/>
    <s v="6Seasons"/>
    <x v="9"/>
  </r>
  <r>
    <x v="136"/>
    <x v="11"/>
    <x v="1"/>
    <n v="8.4"/>
    <n v="85"/>
    <x v="51"/>
    <s v="Formerly filthy rich video store magnate Johnny Rose, his soap star wife Moira, and their two kids, über-hipster son David and socialite daughter Alexis, suddenly find themselves broke and forced to live in Schitt's Creek, a small depressing town they once bought as a joke.Schitt's Creek featuring Eugene Levy and Catherine O'Hara has one or more episodes streaming with subscription on Netflix, streaming with subscription on Prime Video, free on CW Seed, and 6 others. It's a comedy show with 82 episodes over 6 seasons. Schitt's Creek is no longer running and has no plans to air new episodes or seasons. It has a high IMDb audience rating of 8.4 (41,347 votes) and was met with mixed reviews by critics."/>
    <s v="6 Seasons"/>
    <x v="20"/>
  </r>
  <r>
    <x v="137"/>
    <x v="1"/>
    <x v="1"/>
    <n v="7.7"/>
    <n v="85"/>
    <x v="52"/>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New Girl featuring Zooey Deschanel and Jake Johnson has one or more episodes streaming with subscription on Netflix, streaming via tv everywhere with TBS, available for purchase on iTunes, and 5 others. It's a comedy show with 146 episodes over 7 seasons. New Girl is no longer running and has no plans to air new episodes or seasons. It has a high IMDb audience rating of 7.7 (182,534 votes) and was very well received by critics."/>
    <s v="7 Seasons"/>
    <x v="54"/>
  </r>
  <r>
    <x v="138"/>
    <x v="10"/>
    <x v="0"/>
    <n v="8.6999999999999993"/>
    <n v="85"/>
    <x v="0"/>
    <s v="The story of an inner-city Los Angeles police precinct where some of the cops aren't above breaking the rules or working against their associates to both keep the streets safe and their self-interests intact.The Shield featuring Michael Chiklis and Walton Goggins has one or more episodes streaming with subscription on Hulu, available for purchase on Google Play, available for purchase on Prime Video, and 3 others. It's an action &amp; adventure and crime show with 92 episodes over 7 seasons. The Shield is no longer running and has no plans to air new episodes or seasons. It has a high IMDb audience rating of 8.7 (70,248 votes) and was very well received by critics."/>
    <s v="7Seasons"/>
    <x v="4"/>
  </r>
  <r>
    <x v="139"/>
    <x v="23"/>
    <x v="0"/>
    <n v="8.6999999999999993"/>
    <n v="85"/>
    <x v="0"/>
    <s v="A drama about the investigations of AC-12, a controversial police anticorruption unit.Line of Duty featuring Martin Compston and Vicky McClure has one or more episodes streaming with subscription on Hulu, streaming on AcornTV, streaming via tv everywhere with AMC, and 9 others. It's a crime and drama show with 30 episodes over 5 seasons. Line of Duty is still airing with no announced date for the next episode or season. It has a high IMDb audience rating of 8.7 (30,298 votes) and was very well received by critics."/>
    <s v="5Seasons"/>
    <x v="55"/>
  </r>
  <r>
    <x v="140"/>
    <x v="14"/>
    <x v="0"/>
    <n v="8.1"/>
    <n v="85"/>
    <x v="53"/>
    <s v="A troubled war veteran is assigned to protect a controversial politician who may be the target of a terror plot.Bodyguard featuring Richard Madden and Keeley Hawes has one or more episodes streaming with subscription on Netflix. It's an action &amp; adventure and crime show with 6 episodes over 1 season. Bodyguard is no longer running and has no plans to air new episodes or seasons. It has a high IMDb audience rating of 8.1 (87,648 votes) and was very well received by critics."/>
    <s v="1Season"/>
    <x v="0"/>
  </r>
  <r>
    <x v="141"/>
    <x v="14"/>
    <x v="0"/>
    <n v="7.8"/>
    <n v="85"/>
    <x v="0"/>
    <s v="A dangerously charming, intensely obsessive young man goes to extreme measures to insert himself into the lives of those he is transfixed by.YOU featuring Victoria Pedretti and Jenna Ortega has one or more episodes streaming with subscription on Netflix, available for purchase on Google Play, available for purchase on Prime Video, and 2 others. It's a crime and drama show with 20 episodes over 2 seasons. YOU is still airing with no announced date for the next episode or season. It has a high IMDb audience rating of 7.8 (130,182 votes) and was very well received by critics."/>
    <s v="2Seasons"/>
    <x v="0"/>
  </r>
  <r>
    <x v="142"/>
    <x v="17"/>
    <x v="1"/>
    <n v="8.6"/>
    <n v="85"/>
    <x v="29"/>
    <s v="The trials and triumphs of life in the small town of Dillon, Texas, where high school football is everything.Friday Night Lights featuring Kyle Chandler and Connie Britton has one or more episodes streaming with subscription on Hulu, streaming on Starz, streaming via tv everywhere with NBC (Via Cable/Satellite Provider), and 8 others. It's a drama and sport show with 76 episodes over 5 seasons. Friday Night Lights is no longer running and has no plans to air new episodes or seasons. It has a high IMDb audience rating of 8.6 (54,737 votes) and was very well received by critics."/>
    <s v="5Seasons"/>
    <x v="56"/>
  </r>
  <r>
    <x v="143"/>
    <x v="14"/>
    <x v="0"/>
    <n v="8.6"/>
    <n v="85"/>
    <x v="36"/>
    <s v="The lives of the Roy family as they contemplate their future once their aging father begins to step back from the media and entertainment conglomerate they control.Succession featuring Brian Cox and Jeremy Strong has one or more episodes streaming with subscription on HBO MAX, streaming on HBO, available for purchase on iTunes, and 4 others. It's a drama show with 20 episodes over 2 seasons. Succession is still airing with no announced date for the next episode or season. It has a high IMDb audience rating of 8.6 (33,935 votes) and was very well received by critics."/>
    <s v="2 Seasons"/>
    <x v="1"/>
  </r>
  <r>
    <x v="144"/>
    <x v="7"/>
    <x v="0"/>
    <n v="8.4"/>
    <n v="85"/>
    <x v="0"/>
    <s v="Based on Michael Connelly's best-selling novels, these are the stories of relentless LAPD homicide Detective Harry Bosch who pursues justice at all costs. But behind his tireless momentum is a man who is haunted by his past and struggles to remain loyal to his personal code: “Everybody counts or nobody counts.”Bosch featuring Titus Welliver and Jamie Hector has one or more episodes streaming with subscription on Prime Video. It's a crime and drama show with 60 episodes over 6 seasons. Bosch is still airing with no announced date for the next episode or season. It has a high IMDb audience rating of 8.4 (43,373 votes) and was very well received by critics."/>
    <s v="6 Seasons"/>
    <x v="3"/>
  </r>
  <r>
    <x v="145"/>
    <x v="13"/>
    <x v="0"/>
    <n v="8.6"/>
    <n v="85"/>
    <x v="38"/>
    <s v="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Deadwood featuring Timothy Olyphant and Ian McShane has one or more episodes streaming with subscription on HBO MAX, streaming on HBO, available for purchase on iTunes, and 5 others. It's a crime and drama show with 36 episodes over 3 seasons. Deadwood is no longer running and has no plans to air new episodes or seasons. It has a high IMDb audience rating of 8.6 (92,159 votes) and was very well received by critics."/>
    <s v="3Seasons"/>
    <x v="1"/>
  </r>
  <r>
    <x v="146"/>
    <x v="6"/>
    <x v="1"/>
    <n v="7.4"/>
    <n v="84"/>
    <x v="13"/>
    <s v="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quot;A&quot; who threatens to expose their secrets — including long-hidden ones they thought only Alison knew.Pretty Little Liars featuring Troian Bellisario and Ashley Benson has one or more episodes streaming with subscription on HBO MAX, streaming with subscription on Hulu, free on Freeform, and 6 others. It's a drama and mystery show with 172 episodes over 7 seasons. Pretty Little Liars is no longer running and has no plans to air new episodes or seasons. It has a better than average IMDb audience rating of 7.4 (149,168 votes) and was well received by critics."/>
    <s v="7Seasons"/>
    <x v="2"/>
  </r>
  <r>
    <x v="147"/>
    <x v="21"/>
    <x v="0"/>
    <n v="8.6"/>
    <n v="84"/>
    <x v="3"/>
    <s v="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Raised by Wolves featuring Amanda Collin and Abubakar Salim has one or more episodes streaming with subscription on HBO MAX. It's a drama and fantasy show with 5 episodes over 1 season. Raised by Wolves has a new episode airing on September 17th, 2020 (PDT). It has a high IMDb audience rating of 8.6 (7,838 votes) and was well received by critics."/>
    <s v="1Season"/>
    <x v="57"/>
  </r>
  <r>
    <x v="148"/>
    <x v="4"/>
    <x v="0"/>
    <n v="8.1"/>
    <n v="84"/>
    <x v="0"/>
    <s v="Set in an alternate history where “superheroes” are treated as outlaws, “Watchmen” embraces the nostalgia of the original groundbreaking graphic novel while attempting to break new ground of its own.Watchmen featuring Regina King and Tim Blake Nelson has one or more episodes streaming with subscription on HBO MAX, streaming on HBO, available for purchase on Google Play, and 2 others. It's an action &amp; adventure and crime show with 9 episodes over 1 season. Watchmen is no longer running and has no plans to air new episodes or seasons. It has a high IMDb audience rating of 8.1 (78,278 votes) and was very well received by critics."/>
    <s v="1Season"/>
    <x v="1"/>
  </r>
  <r>
    <x v="149"/>
    <x v="17"/>
    <x v="1"/>
    <n v="9"/>
    <n v="84"/>
    <x v="54"/>
    <s v="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Death Note featuring Mamoru Miyano and Kappei Yamaguchi has one or more episodes streaming with subscription on Netflix, streaming with subscription on HBO MAX, streaming with subscription on Hulu, and 7 others. It's an animation and anime show with 37 episodes over 1 season. Death Note is no longer running and has no plans to air new episodes or seasons. It has a high IMDb audience rating of 9.0 (218,602 votes)."/>
    <s v="1Season"/>
    <x v="29"/>
  </r>
  <r>
    <x v="150"/>
    <x v="3"/>
    <x v="0"/>
    <n v="8.6"/>
    <n v="84"/>
    <x v="22"/>
    <s v="Two cousins, with different views on art versus commerce, on their way up through the Atlanta rap scene; Earnest 'Earn' Marks, an ambitious college dropout and his estranged cousin, who suddenly becomes a star.Atlanta featuring Donald Glover and Brian Tyree Henry has one or more episodes streaming with subscription on Hulu, streaming via tv everywhere with FX (Via Cable/Satellite Provider), streaming via tv everywhere with FOX (Via Cable/Satellite Provider), and 5 others. It's a comedy and drama show with 21 episodes over 2 seasons. Atlanta is still airing with no announced date for the next episode or season. It has a high IMDb audience rating of 8.6 (48,754 votes) and was very well received by critics."/>
    <s v="2Seasons"/>
    <x v="58"/>
  </r>
  <r>
    <x v="151"/>
    <x v="2"/>
    <x v="1"/>
    <n v="8.1999999999999993"/>
    <n v="84"/>
    <x v="0"/>
    <s v="A &quot;contemporary prequel&quot;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Bates Motel featuring Vera Farmiga and Freddie Highmore has one or more episodes streaming with subscription on Netflix, available for purchase on iTunes, available for purchase on Google Play, and 3 others. It's a crime and drama show with 50 episodes over 5 seasons. Bates Motel is no longer running and has no plans to air new episodes or seasons. It has a high IMDb audience rating of 8.2 (94,620 votes) and was very well received by critics."/>
    <s v="5 Seasons"/>
    <x v="0"/>
  </r>
  <r>
    <x v="152"/>
    <x v="5"/>
    <x v="0"/>
    <n v="8.5"/>
    <n v="84"/>
    <x v="6"/>
    <s v="A former Marine out to punish the criminals responsible for his family's murder finds himself ensnared in a military conspiracy.Marvel's The Punisher featuring Jon Bernthal and Ben Barnes has one or more episodes streaming with subscription on Netflix, available for purchase on Google Play, available for purchase on Prime Video, and 2 others. It's an action &amp; adventure and crime show with 26 episodes over 2 seasons. Marvel's The Punisher is no longer running and has no plans to air new episodes or seasons. It has a high IMDb audience rating of 8.5 (175,422 votes) and was met with mixed reviews by critics."/>
    <s v="2Seasons"/>
    <x v="0"/>
  </r>
  <r>
    <x v="153"/>
    <x v="7"/>
    <x v="0"/>
    <n v="8.3000000000000007"/>
    <n v="84"/>
    <x v="3"/>
    <s v="When 2% of the world's population abruptly disappears without explanation, the world struggles to understand just what they're supposed to do about it. The drama series 'The Leftovers' is the story of the people who didn't make the cut. Based on the bestselling novel by Tom Perrotta, 'The Leftovers' follows Kevin Garvey, a father of two and the chief of police in a small New York suburb, as he tries to maintain some semblance of normalcy when the notion no longer applies.The Leftovers featuring Justin Theroux and Amy Brenneman has one or more episodes streaming with subscription on HBO MAX, streaming on HBO, available for purchase on iTunes, and 4 others. It's a drama and fantasy show with 28 episodes over 3 seasons. The Leftovers is no longer running and has no plans to air new episodes or seasons. It has a high IMDb audience rating of 8.3 (75,793 votes) and was very well received by critics."/>
    <s v="3Seasons"/>
    <x v="1"/>
  </r>
  <r>
    <x v="154"/>
    <x v="4"/>
    <x v="0"/>
    <n v="8"/>
    <n v="84"/>
    <x v="4"/>
    <s v="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Doom Patrol featuring Diane Guerrero and April Bowlby has one or more episodes streaming with subscription on HBO MAX, streaming with subscription on DC Universe, available for purchase on Google Play, and 2 others. It's an action &amp; adventure and comedy show with 24 episodes over 2 seasons. Doom Patrol is still airing with no announced date for the next episode or season. It has a high IMDb audience rating of 8.0 (30,261 votes) and was very well received by critics."/>
    <s v="2Seasons"/>
    <x v="59"/>
  </r>
  <r>
    <x v="155"/>
    <x v="22"/>
    <x v="2"/>
    <n v="8.5"/>
    <n v="84"/>
    <x v="55"/>
    <s v="Mr Bean turns simple everyday tasks into chaotic situations and will leave you in stitches as he creates havoc wherever he goes.Mr. Bean featuring Rowan Atkinson and Matilda Ziegler has one or more episodes streaming with subscription on Prime Video, streaming with subscription on Hulu, free on Plex, and 7 others. It's a comedy and family show with 16 episodes over 1 season. Mr. Bean is no longer running and has no plans to air new episodes or seasons. It has a high IMDb audience rating of 8.5 (98,878 votes) and was very well received by critics."/>
    <s v="1Season"/>
    <x v="60"/>
  </r>
  <r>
    <x v="156"/>
    <x v="5"/>
    <x v="1"/>
    <n v="7.9"/>
    <n v="84"/>
    <x v="38"/>
    <s v="A young mother kills a stranger in a fit of unexplainable rage. An inquisitive detective obsesses over the case, attempting to get to the bottom of the true motive behind the act.The Sinner featuring Bill Pullman and Matt Bomer has one or more episodes streaming with subscription on Netflix, streaming via tv everywhere with USA (Via Cable/Satellite Provider), streaming with subscription on fuboTV, and 6 others. It's a crime and drama show with 24 episodes over 3 seasons. The Sinner is still airing with no announced date for the next episode or season. It has a high IMDb audience rating of 7.9 (80,940 votes) and was very well received by critics."/>
    <s v="3Seasons"/>
    <x v="61"/>
  </r>
  <r>
    <x v="157"/>
    <x v="17"/>
    <x v="1"/>
    <n v="8.1999999999999993"/>
    <n v="84"/>
    <x v="44"/>
    <s v="30 Rock is an American television comedy series that ran on NBC from October 11, 2006, to January 31, 2013, and was created by Tina Fey. The series, which is loosely based on Fey's experiences as head writer for Saturday Night Live, takes place behind the scenes of a fictional live sketch comedy series depicted as airing on NBC. The series' name refers to 30 Rockefeller Plaza in New York City, the address of the GE Building, in which the NBC Studios are located.30 Rock featuring Tina Fey and Alec Baldwin has one or more episodes streaming with subscription on Prime Video, streaming with subscription on Hulu, free on Peacock, and 5 others. It's a comedy show with 139 episodes over 7 seasons. 30 Rock is no longer running and has no plans to air new episodes or seasons. It has a high IMDb audience rating of 8.2 (109,744 votes) and was well received by critics."/>
    <s v="7Seasons"/>
    <x v="60"/>
  </r>
  <r>
    <x v="158"/>
    <x v="11"/>
    <x v="2"/>
    <n v="8"/>
    <n v="84"/>
    <x v="12"/>
    <s v="Explore what it would be like if the Allied Powers had lost WWII, and Japan and Germany ruled the United States. Based on Philip K. Dick's award-winning novel.The Man in the High Castle featuring Alexa Davalos and Joel de la Fuente has one or more episodes streaming with subscription on Prime Video. It's a drama and fantasy show with 40 episodes over 4 seasons. The Man in the High Castle is no longer running and has no plans to air new episodes or seasons. It has a high IMDb audience rating of 8.0 (82,303 votes) and was well received by critics."/>
    <s v="4Seasons"/>
    <x v="3"/>
  </r>
  <r>
    <x v="159"/>
    <x v="24"/>
    <x v="0"/>
    <n v="8.8000000000000007"/>
    <n v="84"/>
    <x v="56"/>
    <s v="Dave Chappelle's singular point of view is unleashed through a combination of laidback stand-up and street-smart sketches.Chappelle's Show featuring Dave Chappelle has one or more episodes streaming on CBS All Access, streaming via tv everywhere with Comedy Central (Via Cable/Satellite Provider), free on Comedy Central, and 9 others. It's a comedy and musical show with 30 episodes over 3 seasons. Chappelle's Show is no longer running and has no plans to air new episodes or seasons. It has a high IMDb audience rating of 8.8 (51,813 votes) and was very well received by critics."/>
    <s v="3Seasons"/>
    <x v="62"/>
  </r>
  <r>
    <x v="160"/>
    <x v="23"/>
    <x v="1"/>
    <n v="7.9"/>
    <n v="84"/>
    <x v="0"/>
    <s v="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Elementary featuring Jonny Lee Miller and Lucy Liu has one or more episodes streaming with subscription on Hulu, available for purchase on iTunes, available for purchase on Google Play, and 3 others. It's a crime and drama show with 156 episodes over 7 seasons. Elementary is no longer running and has no plans to air new episodes or seasons. It has a high IMDb audience rating of 7.9 (99,587 votes) and was very well received by critics."/>
    <s v="7Seasons"/>
    <x v="4"/>
  </r>
  <r>
    <x v="161"/>
    <x v="1"/>
    <x v="1"/>
    <n v="8.1"/>
    <n v="84"/>
    <x v="2"/>
    <s v="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quot;grand re-re-re-opening&quot; a success.Bob's Burgers featuring H. Jon Benjamin and Kristen Schaal has one or more episodes streaming with subscription on Hulu, streaming via tv everywhere with FX (Via Cable/Satellite Provider), streaming via tv everywhere with TBS, and 11 others. It's an animation and comedy show with 195 episodes over 10 seasons. Bob's Burgers has a new episode airing on September 27th, 2020 (PDT). It has a high IMDb audience rating of 8.1 (62,461 votes) and was very well received by critics."/>
    <s v="10Seasons"/>
    <x v="13"/>
  </r>
  <r>
    <x v="162"/>
    <x v="20"/>
    <x v="2"/>
    <n v="8.6"/>
    <n v="84"/>
    <x v="11"/>
    <s v="Naruto Shippuuden is the continuation of the original animated TV series Naruto.The story revolves around an older and slightly more matured Uzumaki Naruto and his quest to save his friend Uchiha Sasuke from the grips of the snake-like Shinobi, Orochimaru. After 2 and a half years Naruto finally returns to his village of Konoha, and sets about putting his ambitions to work, though it will not be easy, as He has amassed a few (more dangerous) enemies, in the likes of the shinobi organization; Akatsuki.Naruto Shippūden featuring Kazuhiko Inoue and Akira Ishida has one or more episodes streaming with subscription on Hulu, streaming via tv everywhere with Adult Swim (Via Cable/Satellite Provider), free on Adult Swim, and 3 others. It's an action &amp; adventure and animation show with 1,257 episodes over 24 seasons. Naruto Shippūden is no longer running and has no plans to air new episodes or seasons. It has a high IMDb audience rating of 8.6 (75,896 votes)."/>
    <s v="24 Seasons"/>
    <x v="63"/>
  </r>
  <r>
    <x v="163"/>
    <x v="4"/>
    <x v="0"/>
    <n v="8"/>
    <n v="84"/>
    <x v="22"/>
    <s v="A hotheaded widow searching for the hit-and-run driver who mowed down her husband befriends an eccentric optimist who isn't quite what she seems.Dead to Me featuring Christina Applegate and Linda Cardellini has one or more episodes streaming with subscription on Netflix. It's a comedy and crime show with 20 episodes over 2 seasons. Dead to Me is still airing with no announced date for the next episode or season. It has a high IMDb audience rating of 8.0 (49,398 votes) and was very well received by critics."/>
    <s v="2Seasons"/>
    <x v="0"/>
  </r>
  <r>
    <x v="164"/>
    <x v="19"/>
    <x v="0"/>
    <n v="8.1999999999999993"/>
    <n v="84"/>
    <x v="22"/>
    <s v="When five young outsiders on Community Service get caught in a strange storm, they discover that they have developed superpowers.Misfits featuring Joseph Gilgun and Karla Crome has one or more episodes streaming with subscription on Hulu, available for purchase on iTunes, available for purchase on Google Play, and 3 others. It's a comedy and drama show with 39 episodes over 5 seasons. Misfits is no longer running and has no plans to air new episodes or seasons. It has a high IMDb audience rating of 8.2 (90,882 votes) and was very well received by critics."/>
    <s v="5 Seasons"/>
    <x v="4"/>
  </r>
  <r>
    <x v="165"/>
    <x v="14"/>
    <x v="0"/>
    <n v="8"/>
    <n v="84"/>
    <x v="57"/>
    <s v="After 250 years on ice, a prisoner returns to life in a new body with one chance to win his freedom: by solving a mind-bending murder.Altered Carbon featuring Ato Essandoh and Chris Conner has one or more episodes streaming with subscription on Netflix. It's an action &amp; adventure and drama show with 18 episodes over 2 seasons. Altered Carbon is still airing with no announced date for the next episode or season. It has a high IMDb audience rating of 8.0 (136,369 votes) and was met with mixed reviews by critics."/>
    <s v="2Seasons"/>
    <x v="0"/>
  </r>
  <r>
    <x v="166"/>
    <x v="14"/>
    <x v="1"/>
    <n v="7.9"/>
    <n v="84"/>
    <x v="23"/>
    <s v="Three &quot;good girl&quot; suburban wives and mothers suddenly find themselves in desperate circumstances and decide to stop playing it safe and risk everything to take their power back.Good Girls featuring Christina Hendricks and Mae Whitman has one or more episodes streaming with subscription on Netflix, streaming with subscription on Hulu, free on NBC, and 6 others. It's a comedy and crime show with 35 episodes over 3 seasons. Good Girls is still airing with no announced date for the next episode or season. It has a high IMDb audience rating of 7.9 (29,022 votes) and was well received by critics."/>
    <s v="3 Seasons"/>
    <x v="9"/>
  </r>
  <r>
    <x v="167"/>
    <x v="1"/>
    <x v="1"/>
    <n v="7.6"/>
    <n v="84"/>
    <x v="58"/>
    <s v="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een Wolf featuring Tyler Posey and Dylan O'Brien has one or more episodes streaming with subscription on Prime Video, available for purchase on iTunes, available for purchase on Google Play, and 3 others. It's an action &amp; adventure and comedy show with 100 episodes over 6 seasons. Teen Wolf is no longer running and has no plans to air new episodes or seasons. It has a high IMDb audience rating of 7.6 (122,603 votes) and was well received by critics."/>
    <s v="6Seasons"/>
    <x v="3"/>
  </r>
  <r>
    <x v="168"/>
    <x v="4"/>
    <x v="0"/>
    <n v="8.1"/>
    <n v="84"/>
    <x v="22"/>
    <s v="Aziraphale, an angel, and Crowley, a demon, join forces to find the Antichrist and stop Armageddon.Good Omens featuring Michael Sheen and David Tennant has one or more episodes streaming with subscription on Prime Video, available for purchase on Google Play, and available for purchase on YouTube. It's a comedy and drama show with 6 episodes over 1 season. Good Omens is no longer running and has no plans to air new episodes or seasons. It has a high IMDb audience rating of 8.1 (53,820 votes) and was well received by critics."/>
    <s v="1Season"/>
    <x v="3"/>
  </r>
  <r>
    <x v="169"/>
    <x v="11"/>
    <x v="0"/>
    <n v="8.3000000000000007"/>
    <n v="84"/>
    <x v="22"/>
    <s v="30-year-old New York actor Dev takes on such pillars of maturity as the first big job, a serious relationship, and busting sex offenders on the subway.Master of None featuring Aziz Ansari and Eric Wareheim has one or more episodes streaming with subscription on Netflix. It's a comedy and drama show with 20 episodes over 2 seasons. Master of None is no longer running and has no plans to air new episodes or seasons. It has a high IMDb audience rating of 8.3 (63,764 votes) and was very well received by critics."/>
    <s v="2Seasons"/>
    <x v="0"/>
  </r>
  <r>
    <x v="170"/>
    <x v="14"/>
    <x v="0"/>
    <n v="8.3000000000000007"/>
    <n v="84"/>
    <x v="59"/>
    <s v="A hit man from the Midwest moves to Los Angeles and gets caught up in the city's theatre arts scene.Barry featuring Bill Hader and Stephen Root has one or more episodes streaming with subscription on HBO MAX, streaming on HBO, available for purchase on iTunes, and 4 others. It's an action &amp; adventure and comedy show with 16 episodes over 2 seasons. Barry is still airing with no announced date for the next episode or season. It has a high IMDb audience rating of 8.3 (41,329 votes) and was very well received by critics."/>
    <s v="2Seasons"/>
    <x v="1"/>
  </r>
  <r>
    <x v="171"/>
    <x v="14"/>
    <x v="0"/>
    <n v="8.1"/>
    <n v="84"/>
    <x v="1"/>
    <s v="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om Clancy's Jack Ryan featuring John Krasinski and Wendell Pierce has one or more episodes streaming with subscription on Prime Video, available for purchase on iTunes, available for purchase on Google Play, and 2 others. It's an action &amp; adventure and drama show with 16 episodes over 2 seasons. Tom Clancy's Jack Ryan is still airing with no announced date for the next episode or season. It has a high IMDb audience rating of 8.1 (83,760 votes) and was well received by critics."/>
    <s v="2Seasons"/>
    <x v="3"/>
  </r>
  <r>
    <x v="172"/>
    <x v="6"/>
    <x v="0"/>
    <n v="8.3000000000000007"/>
    <n v="84"/>
    <x v="5"/>
    <s v="Track the intertwined real-life stories of three U.S. Marines – Robert Leckie, John Basilone, and Eugene Sledge – across the vast canvas of the Pacific Theater during World War II. A companion piece to the 2001 miniseries Band of Brothers.The Pacific featuring James Badge Dale and Jon Seda has one or more episodes streaming with subscription on HBO MAX, streaming on HBO, streaming with subscription on Prime Video, and 5 others. It's an action &amp; adventure and drama show with 10 episodes over 1 season. The Pacific is no longer running and has no plans to air new episodes or seasons. It has a high IMDb audience rating of 8.3 (96,659 votes) and was very well received by critics."/>
    <s v="1Season"/>
    <x v="47"/>
  </r>
  <r>
    <x v="173"/>
    <x v="11"/>
    <x v="1"/>
    <n v="8.6"/>
    <n v="84"/>
    <x v="60"/>
    <s v="Filmed over 10 years, this real-life thriller follows a DNA exoneree who, while exposing police corruption, becomes a suspect in a grisly new crime.Making a Murderer featuring Kathleen Zellner and Steven Avery has one or more episodes streaming with subscription on Netflix. It's a crime and documentary show with 20 episodes over 2 seasons. Making a Murderer is no longer running and has no plans to air new episodes or seasons. It has a high IMDb audience rating of 8.6 (84,429 votes) and was well received by critics."/>
    <s v="2 Seasons"/>
    <x v="0"/>
  </r>
  <r>
    <x v="174"/>
    <x v="21"/>
    <x v="0"/>
    <n v="8"/>
    <n v="84"/>
    <x v="61"/>
    <s v="A Hasidic Jewish woman in Brooklyn flees to Berlin from an arranged marriage and is taken in by a group of musicians -- until her past comes calling.Unorthodox featuring Shira Haas and Tamar Amit-Joseph has one or more episodes streaming with subscription on Netflix. It's a drama show with 4 episodes over 1 season. Unorthodox is no longer running and has no plans to air new episodes or seasons. It has a high IMDb audience rating of 8.0 (45,901 votes) and was very well received by critics."/>
    <s v="1 Season"/>
    <x v="0"/>
  </r>
  <r>
    <x v="11"/>
    <x v="12"/>
    <x v="1"/>
    <n v="8.5"/>
    <n v="84"/>
    <x v="22"/>
    <s v="Documentary-style sitcom sets in the offices of a Slough paper merchant.The Office featuring Ricky Gervais and Martin Freeman has one or more episodes streaming with subscription on HBO MAX, streaming with subscription on Hulu, streaming on BritBox, and 6 others. It's a comedy and drama show with 14 episodes over 3 seasons. The Office is no longer running and has no plans to air new episodes or seasons. It has a high IMDb audience rating of 8.5 (95,723 votes) and was very well received by critics."/>
    <s v="3Seasons"/>
    <x v="50"/>
  </r>
  <r>
    <x v="175"/>
    <x v="19"/>
    <x v="1"/>
    <n v="8.3000000000000007"/>
    <n v="84"/>
    <x v="0"/>
    <s v="Alicia Florrick boldly assumes full responsibility for her family and re-enters the workforce after her husband's very public sex and political corruption scandal lands him in jail.The Good Wife featuring Julianna Margulies and Matt Czuchry has one or more episodes streaming with subscription on Prime Video, streaming on CBS All Access, available for purchase on iTunes, and 4 others. It's a crime and drama show with 158 episodes over 7 seasons. The Good Wife is no longer running and has no plans to air new episodes or seasons. It has a high IMDb audience rating of 8.3 (66,886 votes) and was very well received by critics."/>
    <s v="7Seasons"/>
    <x v="64"/>
  </r>
  <r>
    <x v="176"/>
    <x v="5"/>
    <x v="1"/>
    <n v="8.4"/>
    <n v="84"/>
    <x v="13"/>
    <s v="Adventurer James Keziah Delaney returns to London from Africa in 1814 along with fourteen stolen diamonds to seek vengeance after the death of his father.Taboo featuring Tom Hardy and Jonathan Pryce has one or more episodes streaming with subscription on Hulu, available for purchase on iTunes, available for purchase on Google Play, and 5 others. It's an action &amp; adventure and drama show with 8 episodes over 1 season. Taboo is still airing with no announced date for the next episode or season. It has a high IMDb audience rating of 8.4 (112,015 votes) and was well received by critics."/>
    <s v="1 Season"/>
    <x v="4"/>
  </r>
  <r>
    <x v="177"/>
    <x v="21"/>
    <x v="0"/>
    <n v="7.3"/>
    <n v="84"/>
    <x v="3"/>
    <s v="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Lovecraft Country featuring Jonathan Majors and Jurnee Smollett has one or more episodes streaming with subscription on HBO MAX, and streaming on HBO. It's a drama and fantasy show with 5 episodes over 1 season. Lovecraft Country has a new episode airing on September 20th, 2020 (PDT). It has a better than average IMDb audience rating of 7.3 (11,027 votes) and was well received by critics."/>
    <s v="1Season"/>
    <x v="1"/>
  </r>
  <r>
    <x v="178"/>
    <x v="21"/>
    <x v="0"/>
    <n v="8"/>
    <n v="84"/>
    <x v="62"/>
    <s v="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Upload featuring Robbie Amell and Andy Allo has one or more episodes streaming with subscription on Prime Video. It's a comedy and fantasy show with 10 episodes over 1 season. Upload is still airing with no announced date for the next episode or season. It has a high IMDb audience rating of 8.0 (31,246 votes) and was well received by critics."/>
    <s v="1 Season"/>
    <x v="3"/>
  </r>
  <r>
    <x v="179"/>
    <x v="14"/>
    <x v="0"/>
    <n v="7.6"/>
    <n v="84"/>
    <x v="0"/>
    <s v="When three working class kids enroll in the most exclusive school in Spain, the clash between the wealthy and the poor students leads to tragedy.Elite featuring Itzan Escamilla and Mina El Hammani has one or more episodes streaming with subscription on Netflix. It's a crime and drama show with 24 episodes over 3 seasons. Elite is still airing with no announced date for the next episode or season. It has a high IMDb audience rating of 7.6 (41,883 votes) and was very well received by critics."/>
    <s v="3Seasons"/>
    <x v="0"/>
  </r>
  <r>
    <x v="180"/>
    <x v="8"/>
    <x v="2"/>
    <n v="8.6"/>
    <n v="84"/>
    <x v="1"/>
    <s v="The Doctor is a Time Lord: a 900 year old alien with 2 hearts, part of a gifted civilization who mastered time travel. The Doctor saves planets for a living—more of a hobby actually, and the Doctor's very, very good at it.Doctor Who featuring Jodie Whittaker and Mandip Gill has one or more episodes streaming with subscription on HBO MAX, streaming via tv everywhere with BBC America (Via Cable/Satellite Provider), available for purchase on iTunes, and 5 others. It's an action &amp; adventure and drama show with 151 episodes over 12 seasons. Doctor Who is still airing with no announced date for the next episode or season. It has a high IMDb audience rating of 8.6 (195,628 votes)."/>
    <s v="12Seasons"/>
    <x v="65"/>
  </r>
  <r>
    <x v="181"/>
    <x v="4"/>
    <x v="2"/>
    <n v="9.3000000000000007"/>
    <n v="84"/>
    <x v="63"/>
    <s v="Experience our planet's natural beauty and examine how climate change impacts all living creatures in this ambitious documentary of spectacular scope.Our Planet featuring David Attenborough has one or more episodes streaming with subscription on Netflix. It's a documentary show with 8 episodes over 1 season. Our Planet is no longer running and has no plans to air new episodes or seasons. It has a very high IMDb audience rating of 9.3 (28,428 votes) and was very well received by critics."/>
    <s v="1Season"/>
    <x v="0"/>
  </r>
  <r>
    <x v="182"/>
    <x v="0"/>
    <x v="2"/>
    <n v="8.1999999999999993"/>
    <n v="83"/>
    <x v="64"/>
    <s v="Yoda, Obi-Wan Kenobi, Anakin Skywalker, Mace Windu and other Jedi Knights lead the Grand Army of the Republic against the droid army of the Separatists.Star Wars: The Clone Wars featuring James Arnold Taylor and Corey Burton has one or more episodes streaming with subscription on Disney+, available for purchase on iTunes, available for purchase on Google Play, and 3 others. It's an action &amp; adventure and animation show with 133 episodes over 7 seasons. Star Wars: The Clone Wars is no longer running and has no plans to air new episodes or seasons. It has a high IMDb audience rating of 8.2 (54,477 votes) and was very well received by critics."/>
    <s v="7 Seasons"/>
    <x v="14"/>
  </r>
  <r>
    <x v="183"/>
    <x v="1"/>
    <x v="0"/>
    <n v="8"/>
    <n v="83"/>
    <x v="18"/>
    <s v="An anthology horror drama series centering on different characters and locations, including a house with a murderous past, an asylum, a witch coven, a freak show, a hotel, a farmhouse in Roanoke and a cult.American Horror Story featuring Emma Roberts and Billie Lourd has one or more episodes streaming with subscription on Netflix, streaming with subscription on Prime Video, streaming with subscription on Hulu, and 5 others. It's a drama and fantasy show with 104 episodes over 9 seasons. American Horror Story is still airing with no announced date for the next episode or season. It has a high IMDb audience rating of 8.0 (268,983 votes)."/>
    <s v="9 Seasons"/>
    <x v="49"/>
  </r>
  <r>
    <x v="184"/>
    <x v="16"/>
    <x v="2"/>
    <n v="8.6999999999999993"/>
    <n v="83"/>
    <x v="11"/>
    <s v="Years ago, the fearsome pirate king Gol D. Roger was executed, leaving a huge pile of treasure and the famous &quot;One Piece&quot; behind. Whoever claims the &quot;One Piece&quot; will be named the new pirate king. Monkey D. Luffy, a boy who consumed one of the &quot;Devil's Fruits&quot;, has it in his head that he'll follow in the footsteps of his idol, the pirate Shanks, and find the One Piece. It helps, of course, that his body has the properties of rubber and he's surrounded by a bevy of skilled fighters and thieves to help him along the way. Monkey D. Luffy brings a bunch of his crew followed by, Roronoa Zoro, Nami, Usopp, Sanji, Tony-Tony Chopper, Nico Robin, Franky, and Brook. They will do anything to get the One Piece and become King of the Pirates!One Piece featuring Mayumi Tanaka and Kazuya Nakai has one or more episodes streaming with subscription on Netflix, streaming with subscription on Hulu, streaming with subscription on Crunchyroll, and 3 others. It's an action &amp; adventure and animation show with 1,954 episodes over 19 seasons. One Piece is still airing with no announced date for the next episode or season. It has a high IMDb audience rating of 8.7 (62,320 votes)."/>
    <s v="19 Seasons"/>
    <x v="9"/>
  </r>
  <r>
    <x v="185"/>
    <x v="19"/>
    <x v="1"/>
    <n v="8.1"/>
    <n v="83"/>
    <x v="10"/>
    <s v="After a serial killer imitates the plots of his novels, successful mystery novelist Richard &quot;Rick&quot; Castle receives permission from the Mayor of New York City to tag along with an NYPD homicide investigation team for research purposes.Castle featuring Nathan Fillion and Stana Katic has one or more episodes available for purchase on iTunes, available for purchase on Google Play, available for purchase on Prime Video, and 3 others. It's a comedy and crime show with 173 episodes over 8 seasons. Castle is no longer running and has no plans to air new episodes or seasons. It has a high IMDb audience rating of 8.1 (138,237 votes) and was well received by critics."/>
    <s v="8Seasons"/>
    <x v="0"/>
  </r>
  <r>
    <x v="186"/>
    <x v="3"/>
    <x v="0"/>
    <n v="8.1999999999999993"/>
    <n v="83"/>
    <x v="57"/>
    <s v="An English teacher travels back in time to prevent the Kennedy assassination, but discovers he is attached to the life he has made in a bygone era.11.22.63 featuring James Franco and Sarah Gadon has one or more episodes streaming with subscription on Hulu, available for purchase on iTunes, available for purchase on Google Play, and 4 others. It's a drama and fantasy show with 8 episodes over 1 season. 11.22.63 is no longer running and has no plans to air new episodes or seasons. It has a high IMDb audience rating of 8.2 (69,556 votes) and was well received by critics."/>
    <s v="1 Season"/>
    <x v="4"/>
  </r>
  <r>
    <x v="133"/>
    <x v="7"/>
    <x v="0"/>
    <n v="8.5"/>
    <n v="83"/>
    <x v="29"/>
    <s v="A raw family drama set against the world of Mixed Martial Arts (MMA) in Venice, California. Alvey Kulina owns Navy St. MMA with the help of his girlfriend Lisa Prince. He is willing to go through extraordinary means to make sure his fighters are taken care of, but all of this responsibility comes at a steep price. He has complicated relationships with both of his sons, Jay and Nate, who are both struggling with their own identities and places within Alvey’s life and gym.Kingdom featuring Frank Grillo and Jonathan Tucker has one or more episodes streaming with subscription on Netflix, available for purchase on iTunes, available for purchase on Google Play, and 1 other. It's a drama and sport show with 40 episodes over 3 seasons. Kingdom is no longer running and has no plans to air new episodes or seasons. It has a high IMDb audience rating of 8.5 (12,294 votes) and was well received by critics."/>
    <s v="3Seasons"/>
    <x v="0"/>
  </r>
  <r>
    <x v="187"/>
    <x v="7"/>
    <x v="1"/>
    <n v="7.8"/>
    <n v="83"/>
    <x v="27"/>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Gotham featuring Ben McKenzie and Donal Logue has one or more episodes streaming with subscription on Netflix, streaming via tv everywhere with FOX (Via Cable/Satellite Provider), available for purchase on iTunes, and 4 others. It's an action &amp; adventure and crime show with 101 episodes over 5 seasons. Gotham is no longer running and has no plans to air new episodes or seasons. It has a high IMDb audience rating of 7.8 (207,849 votes) and was well received by critics."/>
    <s v="5Seasons"/>
    <x v="66"/>
  </r>
  <r>
    <x v="188"/>
    <x v="20"/>
    <x v="2"/>
    <n v="8.3000000000000007"/>
    <n v="83"/>
    <x v="22"/>
    <s v="A pie-maker, with the power to bring dead people back to life, solves murder mysteries with his alive-again childhood sweetheart, a cynical private investigator, and a lovesick waitress.Pushing Daisies featuring Lee Pace and Anna Friel has one or more episodes free on CW Seed, available for purchase on iTunes, available for purchase on Google Play, and 2 others. It's a comedy and crime show with 22 episodes over 2 seasons. Pushing Daisies is no longer running and has no plans to air new episodes or seasons. It has a high IMDb audience rating of 8.3 (52,894 votes) and was very well received by critics."/>
    <s v="2Seasons"/>
    <x v="22"/>
  </r>
  <r>
    <x v="189"/>
    <x v="3"/>
    <x v="1"/>
    <n v="8.1"/>
    <n v="83"/>
    <x v="0"/>
    <s v="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he Night Manager featuring Tom Hiddleston and Hugh Laurie has one or more episodes streaming with subscription on Prime Video, available for purchase on iTunes, available for purchase on Google Play, and 2 others. It's an action &amp; adventure and crime show with 6 episodes over 1 season. The Night Manager is no longer running and has no plans to air new episodes or seasons. It has a high IMDb audience rating of 8.1 (67,680 votes) and was very well received by critics."/>
    <s v="1Season"/>
    <x v="3"/>
  </r>
  <r>
    <x v="190"/>
    <x v="1"/>
    <x v="1"/>
    <n v="7.8"/>
    <n v="83"/>
    <x v="6"/>
    <s v="After Portland homicide detective Nick Burkhardt discovers he's descended from an elite line of criminal profilers known as &quot;Grimms,&quot; he increasingly finds his responsibilities as a detective at odds with his new responsibilities as a Grimm.Grimm featuring David Giuntoli and Silas Weir Mitchell has one or more episodes streaming with subscription on Prime Video, available for purchase on iTunes, available for purchase on Google Play, and 2 others. It's an action &amp; adventure and crime show with 123 episodes over 6 seasons. Grimm is no longer running and has no plans to air new episodes or seasons. It has a high IMDb audience rating of 7.8 (107,421 votes) and was very well received by critics."/>
    <s v="6Seasons"/>
    <x v="3"/>
  </r>
  <r>
    <x v="191"/>
    <x v="1"/>
    <x v="1"/>
    <n v="8.9"/>
    <n v="83"/>
    <x v="11"/>
    <s v="Twelve-year-old Gon Freecss one day discovers that the father he had always been told was dead was alive and well. His Father, Ging, is a Hunter—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Hunter x Hunter featuring 潘惠美 and Mariya Ise has one or more episodes streaming with subscription on Netflix, streaming with subscription on HBO MAX, streaming with subscription on Hulu, and 10 others. It's an action &amp; adventure and animation show with 274 episodes over 6 seasons. Hunter x Hunter is no longer running and has no plans to air new episodes or seasons. It has a high IMDb audience rating of 8.9 (48,134 votes)."/>
    <s v="6 Seasons"/>
    <x v="29"/>
  </r>
  <r>
    <x v="192"/>
    <x v="8"/>
    <x v="1"/>
    <n v="7.8"/>
    <n v="83"/>
    <x v="65"/>
    <s v="Dr. Temperance Brennan and her colleagues at the Jeffersonian's Medico-Legal Lab assist Special Agent Seeley Booth with murder investigations when the remains are so badly decomposed, burned or destroyed that the standard identification methods are useless.Bones featuring Emily Deschanel and David Boreanaz has one or more episodes streaming with subscription on Prime Video, streaming with subscription on Hulu, streaming via tv everywhere with TNT, and 3 others. It's a comedy and crime show with 247 episodes over 12 seasons. Bones is no longer running and has no plans to air new episodes or seasons. It has a high IMDb audience rating of 7.8 (136,120 votes) and was very well received by critics."/>
    <s v="12Seasons"/>
    <x v="67"/>
  </r>
  <r>
    <x v="193"/>
    <x v="11"/>
    <x v="0"/>
    <n v="8.4"/>
    <n v="83"/>
    <x v="66"/>
    <s v="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Ash vs Evil Dead featuring Bruce Campbell and Lucy Lawless has one or more episodes streaming with subscription on Netflix, streaming on Starz, available for purchase on iTunes, and 5 others. It's an action &amp; adventure and comedy show with 32 episodes over 3 seasons. Ash vs Evil Dead is no longer running and has no plans to air new episodes or seasons. It has a high IMDb audience rating of 8.4 (63,009 votes) and was very well received by critics."/>
    <s v="3Seasons"/>
    <x v="34"/>
  </r>
  <r>
    <x v="194"/>
    <x v="25"/>
    <x v="2"/>
    <n v="8"/>
    <n v="83"/>
    <x v="67"/>
    <s v="After many years spent at the “Cheers” bar, Frasier moves back home to Seattle to work as a radio psychiatrist after his policeman father gets shot in the hip on duty.Frasier featuring Kelsey Grammer and David Hyde Pierce has one or more episodes streaming with subscription on Hulu, streaming on CBS All Access, free on CBS, and 8 others. It's a comedy show with 264 episodes over 11 seasons. Frasier is no longer running and has no plans to air new episodes or seasons. It has a high IMDb audience rating of 8.0 (71,785 votes) and was very well received by critics."/>
    <s v="11Seasons"/>
    <x v="68"/>
  </r>
  <r>
    <x v="195"/>
    <x v="4"/>
    <x v="0"/>
    <n v="8.4"/>
    <n v="83"/>
    <x v="22"/>
    <s v="A behind-the-scenes look at the lives of the people who help America wake up in the morning, exploring the unique challenges faced by the men and women who carry out this daily televised ritual.The Morning Show featuring Jennifer Aniston and Reese Witherspoon has one or more episodes streaming with subscription on Apple TV+. It's a comedy and drama show with 10 episodes over 1 season. The Morning Show is still airing with no announced date for the next episode or season. It has a high IMDb audience rating of 8.4 (41,437 votes) and was met with mixed reviews by critics."/>
    <s v="1 Season"/>
    <x v="52"/>
  </r>
  <r>
    <x v="196"/>
    <x v="4"/>
    <x v="0"/>
    <n v="7.9"/>
    <n v="83"/>
    <x v="22"/>
    <s v="Nadia keeps dying and reliving her 36th birthday party. She's trapped in a surreal time loop -- and staring down the barrel of her own mortality.Russian Doll featuring Natasha Lyonne and Greta Lee has one or more episodes streaming with subscription on Netflix. It's a comedy and drama show with 8 episodes over 1 season. Russian Doll is still airing with no announced date for the next episode or season. It has a high IMDb audience rating of 7.9 (61,986 votes) and was very well received by critics."/>
    <s v="1Season"/>
    <x v="0"/>
  </r>
  <r>
    <x v="197"/>
    <x v="11"/>
    <x v="2"/>
    <n v="8.8000000000000007"/>
    <n v="83"/>
    <x v="54"/>
    <s v="Saitama is a hero who only became a hero for fun. After three years of “special” training, though, he’s become so strong that he’s practically invincible. In fact, he’s too strong—even his mightiest opponents are taken out with a single punch, and it turns out that being devastatingly powerful is actually kind of a bore. With his passion for being a hero lost along with his hair, yet still faced with new enemies every day, how much longer can he keep it going?One-Punch Man featuring Makoto Furukawa and Kaito Ishikawa has one or more episodes streaming with subscription on Netflix, streaming with subscription on Hulu, free on PlutoTV, and 8 others. It's an action &amp; adventure and animation show with 25 episodes over 2 seasons. One-Punch Man is still airing with no announced date for the next episode or season. It has a high IMDb audience rating of 8.8 (106,747 votes) and was very well received by critics."/>
    <s v="2Seasons"/>
    <x v="9"/>
  </r>
  <r>
    <x v="198"/>
    <x v="13"/>
    <x v="1"/>
    <n v="8.3000000000000007"/>
    <n v="83"/>
    <x v="38"/>
    <s v="In the fictional town of Neptune, California, student Veronica Mars progresses from high school to college while moonlighting as a private investigator under the tutelage of her detective father.Veronica Mars featuring Kristen Bell and Enrico Colantoni has one or more episodes streaming with subscription on Hulu, available for purchase on iTunes, available for purchase on Google Play, and 3 others. It's a comedy and crime show with 72 episodes over 4 seasons. Veronica Mars is no longer running and has no plans to air new episodes or seasons. It has a high IMDb audience rating of 8.3 (66,519 votes) and was very well received by critics."/>
    <s v="4Seasons"/>
    <x v="4"/>
  </r>
  <r>
    <x v="199"/>
    <x v="18"/>
    <x v="0"/>
    <n v="8.6999999999999993"/>
    <n v="83"/>
    <x v="38"/>
    <s v="The daily lives of prisoners in Emerald City, an experimental unit of the Oswald Maximum Security Prison where ingroups - Muslims, Latinos, Italians, Aryans - stick close to their mutual friends and terrorizes their mutual enemies.Oz featuring Lee Tergesen and Harold Perrineau has one or more episodes streaming with subscription on HBO MAX, streaming on HBO, available for purchase on iTunes, and 5 others. It's a crime and drama show with 56 episodes over 6 seasons. Oz is no longer running and has no plans to air new episodes or seasons. It has a high IMDb audience rating of 8.7 (86,834 votes) and was very well received by critics."/>
    <s v="6Seasons"/>
    <x v="1"/>
  </r>
  <r>
    <x v="200"/>
    <x v="5"/>
    <x v="0"/>
    <n v="8.3000000000000007"/>
    <n v="83"/>
    <x v="22"/>
    <s v="Sam, an 18-year-old on the autism spectrum, takes a funny, yet painful, journey of self-discovery for love and independence and upends his family.Atypical featuring Keir Gilchrist and Jennifer Jason Leigh has one or more episodes streaming with subscription on Netflix. It's a comedy and drama show with 28 episodes over 3 seasons. Atypical is still airing with no announced date for the next episode or season. It has a high IMDb audience rating of 8.3 (55,228 votes) and was well received by critics."/>
    <s v="3Seasons"/>
    <x v="0"/>
  </r>
  <r>
    <x v="201"/>
    <x v="4"/>
    <x v="0"/>
    <n v="8.4"/>
    <n v="83"/>
    <x v="22"/>
    <s v="Tony had a perfect life. But after his wife Lisa suddenly dies, Tony changes. After contemplating taking his own life, he decides instead to live long enough to punish the world by saying and doing whatever he likes from now on.After Life featuring Ricky Gervais and Kerry Godliman has one or more episodes streaming with subscription on Netflix. It's a comedy and drama show with 12 episodes over 2 seasons. After Life is still airing with no announced date for the next episode or season. It has a high IMDb audience rating of 8.4 (78,229 votes) and was well received by critics."/>
    <s v="2Seasons"/>
    <x v="0"/>
  </r>
  <r>
    <x v="202"/>
    <x v="8"/>
    <x v="1"/>
    <n v="8.1"/>
    <n v="83"/>
    <x v="0"/>
    <s v="An elite team of FBI profilers analyze the country's most twisted criminal minds, anticipating their next moves before they strike again. The Behavioral Analysis Unit's most experienced agent is David Rossi, a founding member of the BAU who returns to help the team solve new cases.Criminal Minds featuring Matthew Gray Gubler and A.J. Cook has one or more episodes streaming with subscription on Netflix, streaming on CBS All Access, free on CBS, and 5 others. It's a crime and drama show with 326 episodes over 15 seasons. Criminal Minds is no longer running and has no plans to air new episodes or seasons. It has a high IMDb audience rating of 8.1 (153,603 votes)."/>
    <s v="15 Seasons"/>
    <x v="36"/>
  </r>
  <r>
    <x v="203"/>
    <x v="1"/>
    <x v="1"/>
    <n v="8.8000000000000007"/>
    <n v="83"/>
    <x v="54"/>
    <s v="A group of friends have customized their microwave so that it can send text messages to the past. As they perform different experiments, an organization named SERN who has been doing their own research on time travel tracks them down and now the characters have to find a way to avoid being captured by them.Steins;Gate featuring Kana Hanazawa and Mamoru Miyano has one or more episodes streaming with subscription on Hulu, streaming with subscription on Funimation, available for purchase on iTunes, and 1 other. It's an action &amp; adventure and animation show with 49 episodes over 2 seasons. Steins;Gate is no longer running and has no plans to air new episodes or seasons. It has a high IMDb audience rating of 8.8 (40,732 votes) and was very well received by critics."/>
    <s v="2Seasons"/>
    <x v="69"/>
  </r>
  <r>
    <x v="204"/>
    <x v="26"/>
    <x v="2"/>
    <n v="8.5"/>
    <n v="83"/>
    <x v="40"/>
    <s v="Black Books centres around the foul tempered and wildly eccentric bookshop owner Bernard Black. Bernard’s devotion to the twin pleasures of drunkenness and wilful antagonism deepens and enriches both his life and that of Manny, his assistant. Bearded, sweet and good, Manny is everything that Bernard isn’t and is punished by Bernard relentlessly just for the crime of existing. They depend on each other for meaning as Fran, their oldest friend, depends on them for distraction. Black Books is a haven of books, wine and conversation, the only threat to the group’s peace and prosperity is their own limitless stupidity.Black Books featuring Dylan Moran and Bill Bailey has one or more episodes streaming with subscription on Prime Video, streaming with subscription on Hulu, streaming with subscription on Acorn TV (Via Prime Video), and 2 others. It's a comedy show with 18 episodes over 3 seasons. Black Books is no longer running and has no plans to air new episodes or seasons. It has a high IMDb audience rating of 8.5 (52,992 votes) and was very well received by critics."/>
    <s v="3Seasons"/>
    <x v="70"/>
  </r>
  <r>
    <x v="205"/>
    <x v="31"/>
    <x v="2"/>
    <n v="8.3000000000000007"/>
    <n v="83"/>
    <x v="1"/>
    <s v="Space. The Final Frontier. The U.S.S. Enterprise embarks on a five year mission to explore the galaxy. The Enterprise is under the command of Captain James T. Kirk with First Officer Mr. Spock, from the planet Vulcan. With a determined crew, the Enterprise encounters Klingons, Romulans, time paradoxes, tribbles and genetic supermen lead by Khan Noonian Singh. Their mission is to explore strange new worlds, to seek new life and new civilizations, and to boldly go where no man has gone before.Star Trek featuring William Shatner and Leonard Nimoy has one or more episodes streaming with subscription on Netflix, streaming with subscription on Prime Video, streaming with subscription on Hulu, and 6 others. It's an action &amp; adventure and drama show with 79 episodes over 3 seasons. Star Trek is no longer running and has no plans to air new episodes or seasons. It has a high IMDb audience rating of 8.3 (71,399 votes) and was well received by critics."/>
    <s v="3Seasons"/>
    <x v="49"/>
  </r>
  <r>
    <x v="206"/>
    <x v="2"/>
    <x v="0"/>
    <n v="8.4"/>
    <n v="83"/>
    <x v="16"/>
    <s v="Banshee is an American drama television series set in a small town in Pennsylvania Amish country and features an enigmatic ex-con posing as a murdered sheriff who imposes his own brand of justice while also cooking up plans that serve his own interests.Banshee featuring Antony Starr and Ivana Miličević has one or more episodes streaming on Cinemax, available for purchase on iTunes, available for purchase on Google Play, and 3 others. It's an action &amp; adventure and crime show with 39 episodes over 4 seasons. Banshee is no longer running and has no plans to air new episodes or seasons. It has a high IMDb audience rating of 8.4 (83,246 votes) and was very well received by critics."/>
    <s v="4Seasons"/>
    <x v="71"/>
  </r>
  <r>
    <x v="207"/>
    <x v="14"/>
    <x v="0"/>
    <n v="8.4"/>
    <n v="83"/>
    <x v="6"/>
    <s v="See the rise of the Guadalajara Cartel as an American DEA agent learns the danger of targeting narcos in 1980s Mexico.Narcos: Mexico featuring Scoot McNairy and Ernesto Alterio has one or more episodes streaming with subscription on Netflix. It's an action &amp; adventure and crime show with 20 episodes over 2 seasons. Narcos: Mexico is still airing with no announced date for the next episode or season. It has a high IMDb audience rating of 8.4 (56,058 votes) and was well received by critics."/>
    <s v="2Seasons"/>
    <x v="0"/>
  </r>
  <r>
    <x v="208"/>
    <x v="14"/>
    <x v="0"/>
    <n v="8.1999999999999993"/>
    <n v="83"/>
    <x v="0"/>
    <s v="Reporter Camille Preaker confronts the psychological demons from her past when she returns to her hometown to investigate the murders of two young girls.Sharp Objects featuring Amy Adams and Patricia Clarkson has one or more episodes streaming with subscription on HBO MAX, streaming on HBO, available for purchase on iTunes, and 2 others. It's a crime and drama show with 8 episodes over 1 season. Sharp Objects is no longer running and has no plans to air new episodes or seasons. It has a high IMDb audience rating of 8.2 (64,557 votes) and was very well received by critics."/>
    <s v="1Season"/>
    <x v="1"/>
  </r>
  <r>
    <x v="209"/>
    <x v="13"/>
    <x v="1"/>
    <n v="8.6999999999999993"/>
    <n v="83"/>
    <x v="39"/>
    <s v="When an old enemy, the Cylons, resurface and obliterate the 12 colonies, the crew of the aged Galactica protect a small civilian fleet - the last of humanity - as they journey toward the fabled 13th colony, Earth.Battlestar Galactica featuring Edward James Olmos and Mary McDonnell has one or more episodes free on Peacock, available for purchase on Google Play, available for purchase on Prime Video, and 1 other. It's an action &amp; adventure and drama show with 74 episodes over 4 seasons. Battlestar Galactica is no longer running and has no plans to air new episodes or seasons. It has a high IMDb audience rating of 8.7 (149,532 votes)."/>
    <s v="4Seasons"/>
    <x v="22"/>
  </r>
  <r>
    <x v="210"/>
    <x v="7"/>
    <x v="0"/>
    <n v="8.1999999999999993"/>
    <n v="83"/>
    <x v="27"/>
    <s v="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Black Sails featuring Toby Stephens and Luke Arnold has one or more episodes streaming on Starz, available for purchase on iTunes, available for purchase on Google Play, and 3 others. It's an action &amp; adventure and drama show with 38 episodes over 4 seasons. Black Sails is no longer running and has no plans to air new episodes or seasons. It has a high IMDb audience rating of 8.2 (90,263 votes) and was well received by critics."/>
    <s v="4Seasons"/>
    <x v="72"/>
  </r>
  <r>
    <x v="211"/>
    <x v="3"/>
    <x v="0"/>
    <n v="7.9"/>
    <n v="83"/>
    <x v="3"/>
    <s v="Prairie Johnson, blind as a child, comes home to the community she grew up in with her sight restored. Some hail her a miracle, others a dangerous mystery, but Prairie won’t talk with the FBI or her parents about the seven years she went missing.The OA featuring Brit Marling and Jason Isaacs has one or more episodes streaming with subscription on Netflix. It's a drama and fantasy show with 16 episodes over 2 seasons. The OA is no longer running and has no plans to air new episodes or seasons. It has a high IMDb audience rating of 7.9 (86,878 votes) and was well received by critics."/>
    <s v="2 Seasons"/>
    <x v="0"/>
  </r>
  <r>
    <x v="212"/>
    <x v="23"/>
    <x v="0"/>
    <n v="8.3000000000000007"/>
    <n v="83"/>
    <x v="68"/>
    <s v="A look into American politics, revolving around former Senator Selina Meyer who finds being Vice President of the United States is nothing like she expected and everything everyone ever warned her about.Veep featuring Julia Louis-Dreyfus and Anna Chlumsky has one or more episodes streaming with subscription on HBO MAX, streaming on HBO, available for purchase on iTunes, and 4 others. It's a comedy show with 65 episodes over 7 seasons. Veep is no longer running and has no plans to air new episodes or seasons. It has a high IMDb audience rating of 8.3 (43,368 votes) and was very well received by critics."/>
    <s v="7Seasons"/>
    <x v="1"/>
  </r>
  <r>
    <x v="213"/>
    <x v="26"/>
    <x v="1"/>
    <n v="8.1"/>
    <n v="83"/>
    <x v="22"/>
    <s v="Set in the charming town of Stars Hollow, Connecticut, the series follows the captivating lives of Lorelai and Rory Gilmore, a mother/daughter pair who have a relationship most people only dream of.Gilmore Girls featuring Lauren Graham and Alexis Bledel has one or more episodes streaming with subscription on Netflix, available for purchase on iTunes, available for purchase on Google Play, and 4 others. It's a comedy and drama show with 153 episodes over 7 seasons. Gilmore Girls is no longer running and has no plans to air new episodes or seasons. It has a high IMDb audience rating of 8.1 (95,308 votes) and was well received by critics."/>
    <s v="7Seasons"/>
    <x v="0"/>
  </r>
  <r>
    <x v="214"/>
    <x v="21"/>
    <x v="0"/>
    <n v="7.8"/>
    <n v="82"/>
    <x v="69"/>
    <s v="When an insidious supernatural force edges its way into a seemingly straightforward investigation into the gruesome murder of a young boy, it leads a seasoned cop and an unorthodox investigator to question everything they believe in.The Outsider featuring Ben Mendelsohn and Cynthia Erivo has one or more episodes streaming with subscription on HBO MAX, streaming on HBO, available for purchase on Prime Video, and 1 other. It's a crime and drama show with 10 episodes over 1 season. The Outsider is no longer running and has no plans to air new episodes or seasons. It has a high IMDb audience rating of 7.8 (53,988 votes) and was very well received by critics."/>
    <s v="1Season"/>
    <x v="1"/>
  </r>
  <r>
    <x v="215"/>
    <x v="1"/>
    <x v="0"/>
    <n v="8.1999999999999993"/>
    <n v="82"/>
    <x v="0"/>
    <s v="The Killing is an American crime drama television series based upon the Danish television series Forbrydelsen. Set in Seattle, Washington, the series follows the various murder investigations by homicide detectives Sarah Linden and Stephen Holder.The Killing featuring Mireille Enos and Joel Kinnaman has one or more episodes streaming with subscription on Hulu, available for purchase on iTunes, available for purchase on Google Play, and 3 others. It's a crime and drama show with 45 episodes over 4 seasons. The Killing is no longer running and has no plans to air new episodes or seasons. It has a high IMDb audience rating of 8.2 (95,871 votes) and was well received by critics."/>
    <s v="4Seasons"/>
    <x v="4"/>
  </r>
  <r>
    <x v="216"/>
    <x v="5"/>
    <x v="0"/>
    <n v="8"/>
    <n v="82"/>
    <x v="2"/>
    <s v="Teenage friends find their lives upended by the wonders and horrors of puberty in this edgy comedy from real-life pals Nick Kroll and Andrew Goldberg.Big Mouth featuring Nick Kroll and John Mulaney has one or more episodes streaming with subscription on Netflix. It's an animation and comedy show with 32 episodes over 4 seasons. Big Mouth is still airing with no announced date for the next episode or season. It has a high IMDb audience rating of 8.0 (50,077 votes) and was very well received by critics."/>
    <s v="4Seasons"/>
    <x v="0"/>
  </r>
  <r>
    <x v="217"/>
    <x v="23"/>
    <x v="1"/>
    <n v="8.6"/>
    <n v="82"/>
    <x v="70"/>
    <s v="A behind-the-scenes look at the people who make a nightly cable-news program. Focusing on a network anchor, his new executive producer, the newsroom staff and their boss, the series tracks their quixotic mission to do the news well in the face of corporate and commercial obstacles-not to mention their own personal entanglements.The Newsroom featuring Jeff Daniels and Emily Mortimer has one or more episodes streaming with subscription on HBO MAX, streaming on HBO, available for purchase on iTunes, and 4 others. It's a drama show with 25 episodes over 3 seasons. The Newsroom is no longer running and has no plans to air new episodes or seasons. It has a high IMDb audience rating of 8.6 (101,969 votes) and was met with mixed reviews by critics."/>
    <s v="3 Seasons"/>
    <x v="1"/>
  </r>
  <r>
    <x v="218"/>
    <x v="20"/>
    <x v="2"/>
    <n v="7.9"/>
    <n v="82"/>
    <x v="6"/>
    <s v="A formerly blacklisted spy uses his unique skills and training to help people in desperate situations.Burn Notice featuring Jeffrey Donovan and Gabrielle Anwar has one or more episodes streaming with subscription on Prime Video, streaming with subscription on Hulu, available for purchase on iTunes, and 4 others. It's an action &amp; adventure and crime show with 113 episodes over 8 seasons. Burn Notice is no longer running and has no plans to air new episodes or seasons. It has a high IMDb audience rating of 7.9 (67,122 votes) and was well received by critics."/>
    <s v="8 Seasons"/>
    <x v="15"/>
  </r>
  <r>
    <x v="219"/>
    <x v="16"/>
    <x v="1"/>
    <n v="8.3000000000000007"/>
    <n v="82"/>
    <x v="71"/>
    <s v="A freak accident during an experimental space mission catapults Astronaut John Crichton across a thousand galaxies to an alien battlefield.Farscape featuring Ben Browder and Claudia Black has one or more episodes streaming with subscription on Prime Video, available for purchase on iTunes, available for purchase on Google Play, and 2 others. It's an action &amp; adventure and drama show with 90 episodes over 5 seasons. Farscape is no longer running and has no plans to air new episodes or seasons. It has a high IMDb audience rating of 8.3 (32,745 votes) and was very well received by critics."/>
    <s v="5Seasons"/>
    <x v="3"/>
  </r>
  <r>
    <x v="220"/>
    <x v="1"/>
    <x v="1"/>
    <n v="8.4"/>
    <n v="82"/>
    <x v="1"/>
    <s v="Person of Interest follows former CIA paramilitary operative, John Reese, who is presumed dead and teams up with reclusive billionaire Finch to prevent violent crimes in New York City by initiating their own type of justice. With the special training that Reese has had in Covert Operations and Finch's genius software inventing mind, the two are a perfect match for the job that they have to complete. With the help of surveillance equipment, they work &quot;outside the law&quot; and get the right criminal behind bars.Person of Interest featuring Jim Caviezel and Michael Emerson has one or more episodes streaming with subscription on Netflix, available for purchase on iTunes, available for purchase on Google Play, and 3 others. It's an action &amp; adventure and crime show with 103 episodes over 5 seasons. Person of Interest is no longer running and has no plans to air new episodes or seasons. It has a high IMDb audience rating of 8.4 (160,506 votes)."/>
    <s v="5Seasons"/>
    <x v="0"/>
  </r>
  <r>
    <x v="221"/>
    <x v="14"/>
    <x v="0"/>
    <n v="7.7"/>
    <n v="82"/>
    <x v="13"/>
    <s v="New York, 1896. Police commissioner Theodore Roosevelt brings together criminal psychologist Dr. Laszlo Kreizler, newspaper illustrator John Moore and secretary Sara Howard to investigate several murders of male prostitutes.The Alienist featuring Daniel Brühl and Luke Evans has one or more episodes streaming with subscription on HBO MAX, streaming via tv everywhere with TNT, streaming with subscription on Hoopla, and 5 others. It's a crime and drama show with 18 episodes over 2 seasons. The Alienist is still airing with no announced date for the next episode or season. It has a high IMDb audience rating of 7.7 (37,458 votes) and was well received by critics."/>
    <s v="2 Seasons"/>
    <x v="73"/>
  </r>
  <r>
    <x v="222"/>
    <x v="3"/>
    <x v="0"/>
    <n v="8"/>
    <n v="82"/>
    <x v="27"/>
    <s v="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Preacher featuring Dominic Cooper and Ruth Negga has one or more episodes streaming with subscription on Hulu, available for purchase on iTunes, available for purchase on Google Play, and 2 others. It's an action &amp; adventure and comedy show with 44 episodes over 4 seasons. Preacher is no longer running and has no plans to air new episodes or seasons. It has a high IMDb audience rating of 8.0 (65,861 votes) and was well received by critics."/>
    <s v="4Seasons"/>
    <x v="4"/>
  </r>
  <r>
    <x v="223"/>
    <x v="21"/>
    <x v="1"/>
    <n v="7.9"/>
    <n v="82"/>
    <x v="8"/>
    <s v="After a traumatic year, all an Indian-American teen wants is to go from pariah to popular -- but friends, family and feeling won't make it easy on her.Never Have I Ever featuring Maitreyi Ramakrishnan and Lee Rodriguez has one or more episodes streaming with subscription on Netflix. It's a comedy and romance show with 10 episodes over 1 season. Never Have I Ever is still airing with no announced date for the next episode or season. It has a high IMDb audience rating of 7.9 (20,289 votes) and was very well received by critics."/>
    <s v="1Season"/>
    <x v="0"/>
  </r>
  <r>
    <x v="224"/>
    <x v="0"/>
    <x v="0"/>
    <n v="7.8"/>
    <n v="82"/>
    <x v="3"/>
    <s v="True Blood is an American television drama series created and produced by Alan Ball. It is based on The Southern Vampire Mysteries series of novels by Charlaine Harris, detailing the co-existence of vampires and humans in Bon Temps, a fictional, small town in northwestern Louisiana. The series centers on the adventures of Sookie Stackhouse, a telepathic waitress with an otherworldly quality.True Blood featuring Anna Paquin and Stephen Moyer has one or more episodes streaming with subscription on HBO MAX, streaming on HBO, available for purchase on iTunes, and 5 others. It's a drama and fantasy show with 80 episodes over 7 seasons. True Blood is no longer running and has no plans to air new episodes or seasons. It has a high IMDb audience rating of 7.8 (226,026 votes) and was well received by critics."/>
    <s v="7 Seasons"/>
    <x v="1"/>
  </r>
  <r>
    <x v="225"/>
    <x v="6"/>
    <x v="0"/>
    <n v="8.5"/>
    <n v="82"/>
    <x v="1"/>
    <s v="Spartacus is an American television series inspired by the historical figure of Spartacus, a Thracian gladiator who from 73 to 71 BCE led a major slave uprising against the Roman Republic departing from Capua.Spartacus featuring Liam McIntyre and Dustin Clare has one or more episodes streaming on Starz, free on IMDb TV, available for purchase on iTunes, and 5 others. It's an action &amp; adventure and animation show with 39 episodes over 4 seasons. Spartacus is no longer running and has no plans to air new episodes or seasons. It has a high IMDb audience rating of 8.5 (218,229 votes) and was well received by critics."/>
    <s v="4Seasons"/>
    <x v="74"/>
  </r>
  <r>
    <x v="226"/>
    <x v="7"/>
    <x v="1"/>
    <n v="7.9"/>
    <n v="82"/>
    <x v="11"/>
    <s v="Ken Kaneki is a bookworm college student who meets a girl names Rize at a cafe he frequents. They're the same age and have the same interests, so they quickly become close. Little does Kaneki know that Rize is a ghoul - a kind of monster that lives by hunting and devouring human flesh. When part of her special organ - &quot;the red child&quot; - is transplanted into Kaneki, he becomes a ghoul himself, trapped in a warped world where humans are not the top of the food chain.Tokyo Ghoul featuring Natsuki Hanae and Sora Amamiya has one or more episodes streaming with subscription on Hulu, free on Adult Swim, streaming with subscription on Funimation, and 5 others. It's an action &amp; adventure and animation show with 60 episodes over 4 seasons. Tokyo Ghoul is no longer running and has no plans to air new episodes or seasons. It has a high IMDb audience rating of 7.9 (32,396 votes) and was very well received by critics."/>
    <s v="4 Seasons"/>
    <x v="75"/>
  </r>
  <r>
    <x v="227"/>
    <x v="20"/>
    <x v="0"/>
    <n v="8.3000000000000007"/>
    <n v="82"/>
    <x v="22"/>
    <s v="A self-loathing, alcoholic writer attempts to repair his damaged relationships with his daughter and her mother while combating sex addiction, a budding drug problem, and the seeming inability to avoid making bad decisions.Californication featuring David Duchovny and Evan Handler has one or more episodes streaming with subscription on Prime Video, streaming on Showtime, free on Showtime FREEview, and 6 others. It's a comedy and drama show with 84 episodes over 7 seasons. Californication is no longer running and has no plans to air new episodes or seasons. It has a high IMDb audience rating of 8.3 (169,691 votes) and was met with mixed reviews by critics."/>
    <s v="7 Seasons"/>
    <x v="76"/>
  </r>
  <r>
    <x v="228"/>
    <x v="32"/>
    <x v="2"/>
    <n v="8.6999999999999993"/>
    <n v="82"/>
    <x v="72"/>
    <s v="Owner Basil Fawlty, his wife Sybil, a chambermaid Polly, and Spanish waiter Manuel attempt to run their hotel amidst farcical situations and an array of demanding guests.Fawlty Towers featuring John Cleese and Prunella Scales has one or more episodes streaming on BritBox, available for purchase on iTunes, available for purchase on Google Play, and 4 others. It's a comedy show with 12 episodes over 2 seasons. Fawlty Towers is no longer running and has no plans to air new episodes or seasons. It has a high IMDb audience rating of 8.7 (82,879 votes) and was very well received by critics."/>
    <s v="2Seasons"/>
    <x v="77"/>
  </r>
  <r>
    <x v="229"/>
    <x v="5"/>
    <x v="0"/>
    <n v="8.1"/>
    <n v="82"/>
    <x v="12"/>
    <s v="Howard Silk is a lowly cog in a bureaucratic UN agency who is turning the last corner of a life filled with regret when he discovers the agency he works for is guarding a secret: a crossing to a parallel dimension.Counterpart featuring J.K. Simmons and Nazanin Boniadi has one or more episodes streaming with subscription on Prime Video, available for purchase on iTunes, available for purchase on Google Play, and 3 others. It's a Drama and Science Fiction show with 20 episodes over 2 seasons. Counterpart is no longer running and has no plans to air new episodes or seasons. It has a high IMDb audience rating of 8.1 (20,562 votes) and was very well received by critics."/>
    <s v="2 Seasons"/>
    <x v="3"/>
  </r>
  <r>
    <x v="230"/>
    <x v="2"/>
    <x v="0"/>
    <n v="8.3000000000000007"/>
    <n v="82"/>
    <x v="38"/>
    <s v="Set in the sprawling mecca of the rich and famous, Ray Donovan does the dirty work for LA's top power players, and makes their problems disappear. His father's unexpected release from prison sets off a chain of events that shakes the Donovan family to its core.Ray Donovan featuring Liev Schreiber and Eddie Marsan has one or more episodes streaming on Showtime, free on Showtime FREEview, streaming with subscription on fuboTV, and 6 others. It's a crime and drama show with 82 episodes over 7 seasons. Ray Donovan is no longer running and has no plans to air new episodes or seasons. It has a high IMDb audience rating of 8.3 (75,442 votes) and was well received by critics."/>
    <s v="7Seasons"/>
    <x v="31"/>
  </r>
  <r>
    <x v="231"/>
    <x v="24"/>
    <x v="0"/>
    <n v="8.6"/>
    <n v="82"/>
    <x v="32"/>
    <s v="Peep Show is an award-winning British sitcom starring David Mitchell and Robert Webb. The television programme is written by Jesse Armstrong and Sam Bain, with additional material by Mitchell and Webb amongst others. It has been broadcast on Channel 4 since 2003. The show's eighth series makes it the longest-returning comedy in Channel 4 history. Stylistically, the show uses point of view shots with the thoughts of main characters Mark and Jeremy audible as voiceovers. Peep Show follows the lives of two men from their twenties to thirties, Mark Corrigan, who has steady employment for most of the series, and Jeremy &quot;Jez&quot; Usbourne, an unemployed would-be musician. The pair met at the fictional Dartmouth University, and now share a flat in Croydon, South London. Mark is initially a loan manager at the fictional JLB Credit, later becoming a waiter, and then a bathroom supplies salesman. He is financially secure, but awkward and socially inept, with a pessimistic and cynical attitude. Jeremy, having split up with his girlfriend Big Suze prior to the first episode, now lives in Mark's spare room. He usually has a much more optimistic and energetic outlook on the world than Mark, yet his self-proclaimed talent as a musician has yet to be recognised, and he is not as popular or attractive as he would like to think himself, although he is more successful with the opposite sex than Mark.Peep Show featuring Robert Webb and David Mitchell has one or more episodes streaming with subscription on Prime Video, streaming with subscription on Hulu, streaming with subscription on Acorn TV, and 2 others. It's a comedy show with 54 episodes over 9 seasons. Peep Show is no longer running and has no plans to air new episodes or seasons. It has a high IMDb audience rating of 8.6 (51,317 votes) and was very well received by critics."/>
    <s v="9Seasons"/>
    <x v="60"/>
  </r>
  <r>
    <x v="232"/>
    <x v="7"/>
    <x v="1"/>
    <n v="8.4"/>
    <n v="82"/>
    <x v="73"/>
    <s v="Set in the early 1980s, and about a fictional visionary, an engineer and a prodigy whose innovations confronts the corporate behemoths of the time. Their personal and professional partnership will be challenged by greed and ego while charting the changing culture in Texas' Silicon Prairie.Halt and Catch Fire featuring Lee Pace and Scoot McNairy has one or more episodes streaming with subscription on Netflix, available for purchase on iTunes, available for purchase on Google Play, and 3 others. It's a drama show with 40 episodes over 4 seasons. Halt and Catch Fire is no longer running and has no plans to air new episodes or seasons. It has a high IMDb audience rating of 8.4 (27,165 votes) and was very well received by critics."/>
    <s v="4 Seasons"/>
    <x v="0"/>
  </r>
  <r>
    <x v="233"/>
    <x v="29"/>
    <x v="1"/>
    <n v="8.5"/>
    <n v="82"/>
    <x v="11"/>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Neon Genesis Evangelion featuring Megumi Ogata and Kotono Mitsuishi has one or more episodes streaming with subscription on Netflix. It's an action &amp; adventure and animation show with 26 episodes over 1 season. Neon Genesis Evangelion is no longer running and has no plans to air new episodes or seasons. It has a high IMDb audience rating of 8.5 (47,246 votes) and was very well received by critics."/>
    <s v="1Season"/>
    <x v="0"/>
  </r>
  <r>
    <x v="234"/>
    <x v="10"/>
    <x v="2"/>
    <n v="8.3000000000000007"/>
    <n v="82"/>
    <x v="11"/>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Naruto featuring Junko Takeuchi and Noriaki Sugiyama has one or more episodes streaming with subscription on Netflix, streaming with subscription on Hulu, free on PlutoTV, and 6 others. It's an action &amp; adventure and animation show with 594 episodes over 5 seasons. Naruto is no longer running and has no plans to air new episodes or seasons. It has a high IMDb audience rating of 8.3 (65,278 votes)."/>
    <s v="5 Seasons"/>
    <x v="9"/>
  </r>
  <r>
    <x v="235"/>
    <x v="4"/>
    <x v="1"/>
    <n v="8.6999999999999993"/>
    <n v="82"/>
    <x v="7"/>
    <s v="A caveman forms a bond with a dinosaur as they struggle to survive in a hostile world.Primal featuring Aaron LaPlante and Tom Kenny has one or more episodes streaming with subscription on HBO MAX, free on Adult Swim, available for purchase on Google Play, and 3 others. It's an action &amp; adventure and animation show with 5 episodes over 1 season. Primal has a new episode airing on October 4th, 2020 (PDT). It has a high IMDb audience rating of 8.7 (3,965 votes) and was very well received by critics."/>
    <s v="1Season"/>
    <x v="78"/>
  </r>
  <r>
    <x v="236"/>
    <x v="5"/>
    <x v="0"/>
    <n v="8.1999999999999993"/>
    <n v="82"/>
    <x v="74"/>
    <s v="A dark medieval fantasy following the last surviving member of the disgraced Belmont clan, trying to save Eastern Europe from extinction at the hand of Vlad Dracula Tepe himself. Inspired by the classic video game series.Castlevania featuring Richard Armitage and James Callis has one or more episodes streaming with subscription on Netflix. It's an action &amp; adventure and animation show with 22 episodes over 3 seasons. Castlevania is still airing with no announced date for the next episode or season. It has a high IMDb audience rating of 8.2 (35,386 votes) and was very well received by critics."/>
    <s v="3 Seasons"/>
    <x v="0"/>
  </r>
  <r>
    <x v="237"/>
    <x v="6"/>
    <x v="1"/>
    <n v="8.6999999999999993"/>
    <n v="82"/>
    <x v="28"/>
    <s v="A chronicle of the lives of the aristocratic Crawley family and their servants in the post-Edwardian era—with great events in history having an effect on their lives and on the British social hierarchy.Downton Abbey featuring Maggie Smith and Michelle Dockery has one or more episodes streaming with subscription on Prime Video, free on Peacock, available for purchase on iTunes, and 4 others. It's a drama and romance show with 52 episodes over 6 seasons. Downton Abbey is no longer running and has no plans to air new episodes or seasons. It has a high IMDb audience rating of 8.7 (157,537 votes)."/>
    <s v="6Seasons"/>
    <x v="25"/>
  </r>
  <r>
    <x v="238"/>
    <x v="16"/>
    <x v="1"/>
    <n v="8.1"/>
    <n v="82"/>
    <x v="2"/>
    <s v="Sick, twisted, politically incorrect and Freakin' Sweet animated series featuring the adventures of the dysfunctional Griffin family. Bumbling Peter and long-suffering Lois have three kids. Stewie (a brilliant but sadistic baby bent on killing his mother and taking over the world), Meg (the oldest, and is the most unpopular girl in town) and Chris (the middle kid, he's not very bright but has a passion for movies). The final member of the family is Brian - a talking dog and much more than a pet, he keeps Stewie in check whilst sipping Martinis and sorting through his own life issues.Family Guy featuring Seth MacFarlane and Alex Borstein has one or more episodes streaming with subscription on Hulu, streaming via tv everywhere with FX (Via Cable/Satellite Provider), streaming via tv everywhere with TBS, and 8 others. It's an animation and comedy show with 367 episodes over 18 seasons. Family Guy has a new episode airing on September 27th, 2020 (PDT). It has a high IMDb audience rating of 8.1 (298,794 votes)."/>
    <s v="18 Seasons"/>
    <x v="13"/>
  </r>
  <r>
    <x v="239"/>
    <x v="3"/>
    <x v="1"/>
    <n v="8.6999999999999993"/>
    <n v="82"/>
    <x v="75"/>
    <s v="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he Grand Tour featuring Jeremy Clarkson and Richard Hammond has one or more episodes streaming with subscription on Prime Video. It's a comedy and documentary show with 39 episodes over 4 seasons. The Grand Tour is still airing with no announced date for the next episode or season. It has a high IMDb audience rating of 8.7 (61,152 votes) and was well received by critics."/>
    <s v="4Seasons"/>
    <x v="3"/>
  </r>
  <r>
    <x v="240"/>
    <x v="17"/>
    <x v="2"/>
    <n v="7.9"/>
    <n v="82"/>
    <x v="22"/>
    <s v="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Eureka featuring Colin Ferguson and Salli Richardson-Whitfield has one or more episodes streaming with subscription on Prime Video, free on Peacock, available for purchase on iTunes, and 3 others. It's an action &amp; adventure and comedy show with 78 episodes over 5 seasons. Eureka is no longer running and has no plans to air new episodes or seasons. It has a high IMDb audience rating of 7.9 (47,191 votes) and was well received by critics."/>
    <s v="5Seasons"/>
    <x v="25"/>
  </r>
  <r>
    <x v="241"/>
    <x v="1"/>
    <x v="1"/>
    <n v="7.8"/>
    <n v="82"/>
    <x v="13"/>
    <s v="When Emily Thorne moves to the Hamptons, everyone wonders about the new girl, but she knows everything about them, including what they did to her family. Years ago, they took everything from her. Now, one by one, she's going to make them pay.Revenge featuring Emily VanCamp and Madeleine Stowe has one or more episodes streaming with subscription on Hulu, free on IMDb TV, available for purchase on iTunes, and 5 others. It's an action &amp; adventure and comedy show with 89 episodes over 4 seasons. Revenge is no longer running and has no plans to air new episodes or seasons. It has a high IMDb audience rating of 7.8 (110,900 votes) and was well received by critics."/>
    <s v="4Seasons"/>
    <x v="17"/>
  </r>
  <r>
    <x v="242"/>
    <x v="19"/>
    <x v="1"/>
    <n v="8"/>
    <n v="82"/>
    <x v="0"/>
    <s v="The world's leading deception researcher, Dr. Cal Lightman, studies facial expression, body language and tone of voice to determine when a person is lying and why, which helps law enforcement and government agencies uncover the truth. But his skills also make it easier for him to deceive others.Lie to Me featuring Tim Roth and Kelli Williams has one or more episodes streaming with subscription on Hulu, free on IMDb TV, available for purchase on iTunes, and 4 others. It's a crime and drama show with 50 episodes over 3 seasons. Lie to Me is no longer running and has no plans to air new episodes or seasons. It has a high IMDb audience rating of 8.0 (108,948 votes) and was well received by critics."/>
    <s v="3Seasons"/>
    <x v="17"/>
  </r>
  <r>
    <x v="243"/>
    <x v="2"/>
    <x v="1"/>
    <n v="8.6"/>
    <n v="82"/>
    <x v="38"/>
    <s v="The early days of a young Endeavour Morse, whose experiences as a detective constable with the Oxford City Police will ultimately shape his future.Endeavour featuring Shaun Evans and Roger Allam has one or more episodes streaming with subscription on Prime Video, available for purchase on iTunes, available for purchase on Google Play, and 3 others. It's a crime and drama show with 29 episodes over 7 seasons. Endeavour is still airing with no announced date for the next episode or season. It has a high IMDb audience rating of 8.6 (17,460 votes) and was well received by critics."/>
    <s v="7Seasons"/>
    <x v="3"/>
  </r>
  <r>
    <x v="244"/>
    <x v="17"/>
    <x v="1"/>
    <n v="7.5"/>
    <n v="82"/>
    <x v="3"/>
    <s v="Common people discover that they have super powers. Their lives intertwine as a devastating event must be prevented.Heroes featuring Milo Ventimiglia and Hayden Panettiere has one or more episodes free on IMDb TV, free on Peacock, available for purchase on iTunes, and 3 others. It's a drama and fantasy show with 79 episodes over 4 seasons. Heroes is no longer running and has no plans to air new episodes or seasons. It has a better than average IMDb audience rating of 7.5 (226,127 votes) and was met with mixed reviews by critics."/>
    <s v="4Seasons"/>
    <x v="22"/>
  </r>
  <r>
    <x v="245"/>
    <x v="7"/>
    <x v="0"/>
    <n v="8.1999999999999993"/>
    <n v="82"/>
    <x v="38"/>
    <s v="A successful New York entrepreneur lives a double life as the head of a drug empire that serves only the rich and influential, all while wanting to escape the underworld and keep his family safe.Power featuring Omari Hardwick and Joseph Sikora has one or more episodes streaming on Starz, available for purchase on iTunes, available for purchase on Google Play, and 3 others. It's a crime and drama show with 64 episodes over 6 seasons. Power is no longer running and has no plans to air new episodes or seasons. It has a high IMDb audience rating of 8.2 (38,017 votes) and was well received by critics."/>
    <s v="6 Seasons"/>
    <x v="72"/>
  </r>
  <r>
    <x v="246"/>
    <x v="10"/>
    <x v="1"/>
    <n v="8"/>
    <n v="82"/>
    <x v="0"/>
    <s v="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Monk featuring Tony Shalhoub and Ted Levine has one or more episodes streaming with subscription on Prime Video, streaming with subscription on fuboTV, free on Peacock, and 6 others. It's a comedy and crime show with 127 episodes over 8 seasons. Monk is no longer running and has no plans to air new episodes or seasons. It has a high IMDb audience rating of 8.0 (63,582 votes) and was very well received by critics."/>
    <s v="8 Seasons"/>
    <x v="79"/>
  </r>
  <r>
    <x v="247"/>
    <x v="11"/>
    <x v="1"/>
    <n v="7.9"/>
    <n v="82"/>
    <x v="12"/>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iZombie featuring Rose McIver and David Anders has one or more episodes streaming with subscription on Netflix, available for purchase on iTunes, available for purchase on Google Play, and 3 others. It's an action &amp; adventure and comedy show with 71 episodes over 5 seasons. iZombie is no longer running and has no plans to air new episodes or seasons. It has a high IMDb audience rating of 7.9 (58,887 votes) and was very well received by critics."/>
    <s v="5 Seasons"/>
    <x v="0"/>
  </r>
  <r>
    <x v="248"/>
    <x v="7"/>
    <x v="0"/>
    <n v="8.6999999999999993"/>
    <n v="82"/>
    <x v="38"/>
    <s v="Based on Robert Saviano's bestselling book, this gritty Italian crime drama paints a portrait of the brutal Neapolitan crime organisation the Camorra, as seen through the eyes of Ciro Di Marzo, the obedient and self- confident right-hand man of the clan's godfather, Pietro Savastano.Gomorrah featuring Fortunato Cerlino and Salvatore Esposito has one or more episodes available for purchase on iTunes, available for purchase on Google Play, available for purchase on Prime Video, and 1 other. It's a crime and drama show with 48 episodes over 4 seasons. Gomorrah is still airing with no announced date for the next episode or season. It has a high IMDb audience rating of 8.7 (27,521 votes) and was very well received by critics."/>
    <s v="4Seasons"/>
    <x v="80"/>
  </r>
  <r>
    <x v="249"/>
    <x v="16"/>
    <x v="0"/>
    <n v="8.6"/>
    <n v="82"/>
    <x v="59"/>
    <s v="Spaced: the anti-Friends, in that it examines the lives of common 20 somethings, but in a way that is more down to earth and realistic. Here we have Daisy and Tim; two 'young' adults with big dreams just trying to get by in this crazy world. They are thrown together in a common pursuit of tenancy, which they find by posing as a couple. The house has a landlady and an oddball artist living there. The series explores the ins and outs of London living.Spaced featuring Simon Pegg and Jessica Hynes has one or more episodes streaming with subscription on Hulu, free on Tubi, and free on IMDb TV. It's an action &amp; adventure and comedy show with 14 episodes over 2 seasons. Spaced is no longer running and has no plans to air new episodes or seasons. It has a high IMDb audience rating of 8.6 (49,433 votes) and was very well received by critics."/>
    <s v="2Seasons"/>
    <x v="17"/>
  </r>
  <r>
    <x v="250"/>
    <x v="5"/>
    <x v="1"/>
    <n v="8"/>
    <n v="82"/>
    <x v="22"/>
    <s v="Follows the crew of the not-so-functional exploratory ship in the Earth's interstellar fleet, 400 years in the future.The Orville featuring Seth MacFarlane and Adrianne Palicki has one or more episodes streaming with subscription on Hulu, available for purchase on iTunes, available for purchase on Google Play, and 3 others. It's an action &amp; adventure and comedy show with 26 episodes over 2 seasons. The Orville is still airing with no announced date for the next episode or season. It has a high IMDb audience rating of 8.0 (56,966 votes) and was well received by critics."/>
    <s v="2Seasons"/>
    <x v="4"/>
  </r>
  <r>
    <x v="251"/>
    <x v="8"/>
    <x v="0"/>
    <n v="7.9"/>
    <n v="82"/>
    <x v="10"/>
    <s v="After the unexpected death of her husband, a suburban mom resorts to selling weed to support her family.Weeds featuring Mary-Louise Parker and Justin Kirk has one or more episodes streaming with subscription on Netflix, streaming on Showtime, available for purchase on iTunes, and 3 others. It's a comedy and crime show with 103 episodes over 8 seasons. Weeds is no longer running and has no plans to air new episodes or seasons. It has a high IMDb audience rating of 7.9 (101,148 votes) and was well received by critics."/>
    <s v="8Seasons"/>
    <x v="81"/>
  </r>
  <r>
    <x v="252"/>
    <x v="3"/>
    <x v="1"/>
    <n v="7.4"/>
    <n v="81"/>
    <x v="37"/>
    <s v="Wyatt Earp's great granddaughter Wynonna battles demons and other creatures with her unique abilities and a posse of dysfunctional allies - the only thing that can bring the paranormal to justice.Wynonna Earp featuring Melanie Scrofano and Tim Rozon has one or more episodes streaming with subscription on Netflix, streaming via tv everywhere with Syfy, streaming with subscription on fuboTV, and 4 others. It's an action &amp; adventure and crime show with 43 episodes over 4 seasons. Wynonna Earp is still airing with no announced date for the next episode or season. It has a better than average IMDb audience rating of 7.4 (17,317 votes) and was very well received by critics."/>
    <s v="4Seasons"/>
    <x v="82"/>
  </r>
  <r>
    <x v="253"/>
    <x v="21"/>
    <x v="1"/>
    <n v="8.1"/>
    <n v="81"/>
    <x v="19"/>
    <s v="Victor is a new student at Creekwood High School on his own journey of self-discovery, facing challenges at home, adjusting to a new city, and struggling with his sexual orientation. When it all seems too much, he reaches out to Simon to help him navigate the ups and downs of high school.Love, Victor featuring Michael Cimino and Ana Ortiz has one or more episodes streaming with subscription on Hulu. It's a comedy and drama show with 10 episodes over 1 season. Love, Victor is still airing with no announced date for the next episode or season. It has a high IMDb audience rating of 8.1 (5,078 votes) and was very well received by critics."/>
    <s v="1Season"/>
    <x v="4"/>
  </r>
  <r>
    <x v="254"/>
    <x v="14"/>
    <x v="1"/>
    <n v="7.6"/>
    <n v="81"/>
    <x v="1"/>
    <s v="As her 16th birthday nears, Sabrina must choose between the witch world of her family and the human world of her friends. Based on the Archie comic.Chilling Adventures of Sabrina featuring Kiernan Shipka and Ross Lynch has one or more episodes streaming with subscription on Netflix. It's an action &amp; adventure and drama show with 36 episodes over 3 seasons. Chilling Adventures of Sabrina is still airing with no announced date for the next episode or season. It has a high IMDb audience rating of 7.6 (68,258 votes) and was well received by critics."/>
    <s v="3Seasons"/>
    <x v="0"/>
  </r>
  <r>
    <x v="255"/>
    <x v="12"/>
    <x v="2"/>
    <n v="7.5"/>
    <n v="81"/>
    <x v="1"/>
    <s v="The origins of the world’s greatest hero–from Krypton refugee Kal-el’s arrival on Earth through his tumultuous teen years to Clark Kent’s final steps toward embracing his destiny as the Man of Steel.Smallville featuring Tom Welling and Cassidy Freeman has one or more episodes streaming with subscription on Hulu, available for purchase on iTunes, available for purchase on Google Play, and 4 others. It's an action &amp; adventure and drama show with 223 episodes over 10 seasons. Smallville is no longer running and has no plans to air new episodes or seasons. It has a better than average IMDb audience rating of 7.5 (114,203 votes) and was well received by critics."/>
    <s v="10 Seasons"/>
    <x v="4"/>
  </r>
  <r>
    <x v="256"/>
    <x v="14"/>
    <x v="2"/>
    <n v="7.3"/>
    <n v="81"/>
    <x v="71"/>
    <s v="After crash-landing on an alien planet, the Robinson family fights against all odds to survive and escape. But they're surrounded by hidden dangers.Lost in Space featuring Toby Stephens and Molly Parker has one or more episodes streaming with subscription on Netflix, available for purchase on iTunes, available for purchase on Google Play, and 3 others. It's an action &amp; adventure and drama show with 20 episodes over 2 seasons. Lost in Space is still airing with no announced date for the next episode or season. It has a better than average IMDb audience rating of 7.3 (70,423 votes) and was well received by critics."/>
    <s v="2 Seasons"/>
    <x v="0"/>
  </r>
  <r>
    <x v="257"/>
    <x v="5"/>
    <x v="2"/>
    <n v="8.6999999999999993"/>
    <n v="81"/>
    <x v="76"/>
    <s v="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Anne with an E featuring Amybeth McNulty and Geraldine James has one or more episodes streaming with subscription on Netflix. It's a drama and family show with 27 episodes over 3 seasons. Anne with an E is no longer running and has no plans to air new episodes or seasons. It has a high IMDb audience rating of 8.7 (31,468 votes) and was met with mixed reviews by critics."/>
    <s v="3 Seasons"/>
    <x v="0"/>
  </r>
  <r>
    <x v="258"/>
    <x v="5"/>
    <x v="0"/>
    <n v="9.1"/>
    <n v="81"/>
    <x v="77"/>
    <s v="An immersive 360-degree narrative telling the epic story of the Vietnam War as it has never before been told on film. Featuring testimony from nearly 80 witnesses, including many Americans who fought in the war and others who opposed it, as well as Vietnamese combatants and civilians from both the winning and losing sides.The Vietnam War featuring Peter Coyote has one or more episodes streaming with subscription on Netflix, streaming with subscription on Hoopla, available for purchase on iTunes, and 4 others. It's a documentary and history show with 11 episodes over 1 season. The Vietnam War is no longer running and has no plans to air new episodes or seasons. It has a very high IMDb audience rating of 9.1 (18,953 votes) and was very well received by critics."/>
    <s v="1 Season"/>
    <x v="83"/>
  </r>
  <r>
    <x v="259"/>
    <x v="11"/>
    <x v="2"/>
    <n v="7.9"/>
    <n v="81"/>
    <x v="1"/>
    <s v="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Marvel's Agent Carter featuring Hayley Atwell and James D'Arcy has one or more episodes streaming with subscription on Disney+, available for purchase on iTunes, available for purchase on Google Play, and 3 others. It's an action &amp; adventure and drama show with 18 episodes over 2 seasons. Marvel's Agent Carter is no longer running and has no plans to air new episodes or seasons. It has a high IMDb audience rating of 7.9 (71,466 votes) and was well received by critics."/>
    <s v="2 Seasons"/>
    <x v="14"/>
  </r>
  <r>
    <x v="260"/>
    <x v="19"/>
    <x v="2"/>
    <n v="7.6"/>
    <n v="81"/>
    <x v="1"/>
    <s v="After saving the life of the President, two secret service agents - Myka Bering and Pete Lattimer - find themselves assigned to the top secret Warehouse 13. The Warehouse is a massive, top secret facility that houses dangerous and fantastical objects. Together, Pete and Myka along with fellow agents Claudia, Steve Jinks and Warehouse caretaker Artie, must recover artifacts from around the globe before they can cause catastrophic damage.Warehouse 13 featuring Eddie McClintock and Joanne Kelly has one or more episodes free on IMDb TV, free on Peacock, available for purchase on iTunes, and 3 others. It's an action &amp; adventure and comedy show with 65 episodes over 5 seasons. Warehouse 13 is no longer running and has no plans to air new episodes or seasons. It has a high IMDb audience rating of 7.6 (45,780 votes) and was well received by critics."/>
    <s v="5Seasons"/>
    <x v="22"/>
  </r>
  <r>
    <x v="261"/>
    <x v="4"/>
    <x v="1"/>
    <n v="7.9"/>
    <n v="81"/>
    <x v="27"/>
    <s v="Lyra is an orphan who lives in a parallel universe in which science, theology and magic are entwined. Lyra's search for a kidnapped friend uncovers a sinister plot involving stolen children, and turns into a quest to understand a mysterious phenomenon called Dust. She is later joined on her journey by Will, a boy who possesses a knife that can cut windows between worlds. As Lyra learns the truth about her parents and her prophesied destiny, the two young people are caught up in a war against celestial powers that ranges across many worlds.His Dark Materials featuring Dafne Keen and Ruth Wilson has one or more episodes streaming with subscription on HBO MAX, streaming on HBO, available for purchase on Google Play, and 3 others. It's an action &amp; adventure and drama show with 8 episodes over 1 season. His Dark Materials is still airing with no announced date for the next episode or season. It has a high IMDb audience rating of 7.9 (38,120 votes) and was well received by critics."/>
    <s v="1Season"/>
    <x v="1"/>
  </r>
  <r>
    <x v="262"/>
    <x v="15"/>
    <x v="2"/>
    <n v="8.6999999999999993"/>
    <n v="81"/>
    <x v="11"/>
    <s v="Five years have passed since the fight with Piccolo Jr., and Goku now has a son, Gohan. The peace is interrupted when an alien named Raditz arrives on Earth in a spacecraft and tracks down Goku, revealing to him that that they are members of a near-extinct warrior race called the Saiyans.Dragon Ball Z featuring Masako Nozawa and Ryou Horikawa has one or more episodes streaming with subscription on Funimation, and available for purchase on Prime Video. It's an action &amp; adventure and animation show with 291 episodes over 9 seasons. Dragon Ball Z is no longer running and has no plans to air new episodes or seasons. It has a high IMDb audience rating of 8.7 (65,795 votes)."/>
    <s v="9 Seasons"/>
    <x v="84"/>
  </r>
  <r>
    <x v="263"/>
    <x v="11"/>
    <x v="1"/>
    <n v="8"/>
    <n v="81"/>
    <x v="12"/>
    <s v="In a parallel present where the latest must-have gadget for any busy family is a 'Synth' - a highly-developed robotic servant that's so similar to a real human it's transforming the way we live.Humans featuring Katherine Parkinson and Gemma Chan has one or more episodes streaming with subscription on Prime Video, streaming with subscription on Hoopla, available for purchase on iTunes, and 4 others. It's a drama and fantasy show with 24 episodes over 3 seasons. Humans is no longer running and has no plans to air new episodes or seasons. It has a high IMDb audience rating of 8.0 (35,038 votes) and was very well received by critics."/>
    <s v="3Seasons"/>
    <x v="85"/>
  </r>
  <r>
    <x v="264"/>
    <x v="13"/>
    <x v="1"/>
    <n v="8.4"/>
    <n v="81"/>
    <x v="22"/>
    <s v="Alan Shore and Denny Crane lead a brigade of high-priced civil litigators in an upscale Boston law firm in a series focusing on the professional and personal lives of brilliant but often emotionally challenged attorneys. A spin-off of long-running series The Practice.Boston Legal featuring James Spader and William Shatner has one or more episodes streaming with subscription on Hulu, free on IMDb TV, available for purchase on iTunes, and 2 others. It's a comedy and crime show with 101 episodes over 5 seasons. Boston Legal is no longer running and has no plans to air new episodes or seasons. It has a high IMDb audience rating of 8.4 (41,728 votes) and was well received by critics."/>
    <s v="5Seasons"/>
    <x v="17"/>
  </r>
  <r>
    <x v="265"/>
    <x v="21"/>
    <x v="0"/>
    <n v="7.7"/>
    <n v="81"/>
    <x v="19"/>
    <s v="After joining forces with a veteran bounty hunter, sixteen-year-old fraternal twin sisters Sterling and Blair dive into the world of bail skipping baddies while still navigating the high stakes of teenage love and sex.Teenage Bounty Hunters featuring Maddie Phillips and Anjelica Bette Fellini has one or more episodes streaming with subscription on Netflix. It's an action &amp; adventure and comedy show with 10 episodes over 1 season. Teenage Bounty Hunters is still airing with no announced date for the next episode or season. It has a high IMDb audience rating of 7.7 (4,532 votes) and was very well received by critics."/>
    <s v="1Season"/>
    <x v="0"/>
  </r>
  <r>
    <x v="266"/>
    <x v="7"/>
    <x v="3"/>
    <n v="9.3000000000000007"/>
    <n v="81"/>
    <x v="78"/>
    <s v="Famed astrophysicist Neil deGrasse Tyson provides clarity for the vision of the cosmos as he voyages across the universe with never-before-told stories that delve into the scientific concepts of the laws of gravity and the origins of space and time.Cosmos featuring Neil deGrasse Tyson has one or more episodes streaming with subscription on Disney+, free on FOX, streaming with subscription on fuboTV, and 4 others. It's a documentary show with 26 episodes over 2 seasons. Cosmos is still airing with no announced date for the next episode or season. It has a very high IMDb audience rating of 9.3 (107,697 votes) and was very well received by critics."/>
    <s v="2Seasons"/>
    <x v="86"/>
  </r>
  <r>
    <x v="267"/>
    <x v="14"/>
    <x v="1"/>
    <n v="8.6"/>
    <n v="81"/>
    <x v="37"/>
    <s v="A dance musical that explores the juxtaposition of several segments of 1980s life and society in New York: the ball culture world, the rise of the luxury Trump-era universe and the downtown social and literary scene.Pose featuring MJ Rodriguez and Dominique Jackson has one or more episodes streaming with subscription on Netflix, available for purchase on iTunes, available for purchase on Google Play, and 3 others. It's a drama and LGBTQ show with 19 episodes over 2 seasons. Pose is still airing with no announced date for the next episode or season. It has a high IMDb audience rating of 8.6 (17,020 votes) and was very well received by critics."/>
    <s v="2 Seasons"/>
    <x v="0"/>
  </r>
  <r>
    <x v="268"/>
    <x v="11"/>
    <x v="0"/>
    <n v="8.1"/>
    <n v="81"/>
    <x v="38"/>
    <s v="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Sneaky Pete featuring Giovanni Ribisi and Marin Ireland has one or more episodes streaming with subscription on Prime Video, available for purchase on iTunes, available for purchase on Google Play, and 2 others. It's a crime and drama show with 30 episodes over 3 seasons. Sneaky Pete is no longer running and has no plans to air new episodes or seasons. It has a high IMDb audience rating of 8.1 (28,545 votes) and was very well received by critics."/>
    <s v="3Seasons"/>
    <x v="3"/>
  </r>
  <r>
    <x v="269"/>
    <x v="13"/>
    <x v="2"/>
    <n v="7.5"/>
    <n v="81"/>
    <x v="22"/>
    <s v="Looking down on her friends and family isn't a way of life for Mary Alice Young... it's a way of death. One day, in her perfect house, in the loveliest of suburbs, Mary Alice ended it all. Now she's taking us into the lives of her family, friends and neighbors, commenting from her elevated P.O.V.Desperate Housewives featuring Felicity Huffman and Eva Longoria has one or more episodes streaming with subscription on Hulu, free on IMDb TV, available for purchase on iTunes, and 4 others. It's a comedy and drama show with 180 episodes over 8 seasons. Desperate Housewives is no longer running and has no plans to air new episodes or seasons. It has a better than average IMDb audience rating of 7.5 (112,853 votes) and was well received by critics."/>
    <s v="8 Seasons"/>
    <x v="17"/>
  </r>
  <r>
    <x v="270"/>
    <x v="21"/>
    <x v="0"/>
    <n v="7.6"/>
    <n v="81"/>
    <x v="60"/>
    <s v="A zoo owner spirals out of control amid a cast of eccentric characters in this true murder-for-hire story from the underworld of big cat breeding.Tiger King: Murder, Mayhem and Madness featuring Joe Exotic and Carole Baskin has one or more episodes streaming with subscription on Netflix. It's a crime and documentary show with 8 episodes over 1 season. Tiger King: Murder, Mayhem and Madness is no longer running and has no plans to air new episodes or seasons. It has a high IMDb audience rating of 7.6 (58,069 votes) and was well received by critics."/>
    <s v="1 Season"/>
    <x v="0"/>
  </r>
  <r>
    <x v="271"/>
    <x v="7"/>
    <x v="2"/>
    <n v="8.8000000000000007"/>
    <n v="81"/>
    <x v="39"/>
    <s v="Two brothers, Wirt and Greg, find themselves lost in the Unknown; a strange forest adrift in time. With the help of a wise old Woodsman and a foul-tempered bluebird named Beatrice, Wirt and Greg must travel across this strange land, in hope of finding their way home. Join them as they encounter surprises and obstacles on their journey through the wood.Over the Garden Wall featuring Elijah Wood and Collin Dean has one or more episodes streaming with subscription on HBO MAX, available for purchase on iTunes, available for purchase on Google Play, and 2 others. It's an action &amp; adventure and animation show with 10 episodes over 1 season. Over the Garden Wall is no longer running and has no plans to air new episodes or seasons. It has a high IMDb audience rating of 8.8 (37,277 votes) and was very well received by critics."/>
    <s v="1Season"/>
    <x v="57"/>
  </r>
  <r>
    <x v="272"/>
    <x v="5"/>
    <x v="1"/>
    <n v="7"/>
    <n v="81"/>
    <x v="38"/>
    <s v="Set in the present, the series offers a bold, subversive take on Archie, Betty, Veronica and their friends, exploring the surreality of small-town life, the darkness and weirdness bubbling beneath Riverdale’s wholesome facade.Riverdale featuring Lili Reinhart and Casey Cott has one or more episodes streaming with subscription on Netflix, free on The CW, available for purchase on iTunes, and 4 others. It's a crime and drama show with 76 episodes over 4 seasons. Riverdale is still airing with no announced date for the next episode or season. It has a better than average IMDb audience rating of 7.0 (110,279 votes) and was well received by critics."/>
    <s v="4 Seasons"/>
    <x v="21"/>
  </r>
  <r>
    <x v="273"/>
    <x v="24"/>
    <x v="1"/>
    <n v="7.8"/>
    <n v="81"/>
    <x v="79"/>
    <s v="From murder and espionage to terrorism and stolen submarines, a team of special agents investigates any crime that has a shred of evidence connected to Navy and Marine Corps personnel, regardless of rank or position.NCIS featuring Mark Harmon and Sean Murray has one or more episodes streaming with subscription on Netflix, streaming with subscription on Hulu, streaming on CBS All Access, and 6 others. It's an action &amp; adventure and comedy show with 400 episodes over 17 seasons. NCIS is still airing with no announced date for the next episode or season. It has a high IMDb audience rating of 7.8 (115,641 votes) and was not well received by critics."/>
    <s v="17 Seasons"/>
    <x v="53"/>
  </r>
  <r>
    <x v="274"/>
    <x v="14"/>
    <x v="0"/>
    <n v="7.7"/>
    <n v="81"/>
    <x v="1"/>
    <s v="A team of young superheroes led by Nightwing (formerly Batman's first Robin) form to combat evil and other perils.Titans featuring Brenton Thwaites and Anna Diop has one or more episodes streaming with subscription on DC Universe, available for purchase on Google Play, available for purchase on VUDU, and 1 other. It's an action &amp; adventure and crime show with 24 episodes over 2 seasons. Titans is still airing with no announced date for the next episode or season. It has a high IMDb audience rating of 7.7 (61,416 votes) and was well received by critics."/>
    <s v="2 Seasons"/>
    <x v="46"/>
  </r>
  <r>
    <x v="275"/>
    <x v="5"/>
    <x v="0"/>
    <n v="8"/>
    <n v="81"/>
    <x v="22"/>
    <s v="In 1980s LA, a crew of misfits reinvent themselves as the Gorgeous Ladies of Wrestling.GLOW featuring Alison Brie and Betty Gilpin has one or more episodes streaming with subscription on Netflix. It's a comedy and drama show with 30 episodes over 3 seasons. GLOW is still airing with no announced date for the next episode or season. It has a high IMDb audience rating of 8.0 (38,366 votes) and was very well received by critics."/>
    <s v="3Seasons"/>
    <x v="0"/>
  </r>
  <r>
    <x v="276"/>
    <x v="11"/>
    <x v="1"/>
    <n v="8.6999999999999993"/>
    <n v="81"/>
    <x v="60"/>
    <s v="Robert Durst, scion of one of New York’s billionaire real estate families, has been accused of three murders but never convicted. Brilliant, reclusive, and the subject of relentless media scrutiny, he’s never spoken publicly—until now. During interviews with Andrew Jarecki, he reveals secrets of the case that baffled authorities for 30 years. In 2010, Jarecki made the narrative film All Good Things based on the infamous story of Robert Durst. After Durst saw the film, he contacted Jarecki wanting to tell his story. What began as a feature documentary ultimately became a six-part series as more and more of his incredible story was revealed.The Jinx: The Life and Deaths of Robert Durst featuring Robert Durst and Andrew Jarecki has one or more episodes streaming with subscription on HBO MAX, streaming on HBO, available for purchase on iTunes, and 4 others. It's a crime and documentary show with 6 episodes over 1 season. The Jinx: The Life and Deaths of Robert Durst is no longer running and has no plans to air new episodes or seasons. It has a high IMDb audience rating of 8.7 (37,878 votes) and was very well received by critics."/>
    <s v="1 Season"/>
    <x v="1"/>
  </r>
  <r>
    <x v="277"/>
    <x v="11"/>
    <x v="2"/>
    <n v="8.3000000000000007"/>
    <n v="81"/>
    <x v="19"/>
    <s v="Elegant, proper Grace and freewheeling, eccentric Frankie are a pair of frenemies whose lives are turned upside down - and permanently intertwined - when their husbands leave them for each other. Together, they must face starting over in their 70s in a 21st century world.Grace and Frankie featuring Jane Fonda and Lily Tomlin has one or more episodes streaming with subscription on Netflix, available for purchase on Google Play, available for purchase on Prime Video, and 2 others. It's a comedy and drama show with 81 episodes over 6 seasons. Grace and Frankie is still airing with no announced date for the next episode or season. It has a high IMDb audience rating of 8.3 (37,026 votes) and was very well received by critics."/>
    <s v="6Seasons"/>
    <x v="0"/>
  </r>
  <r>
    <x v="278"/>
    <x v="6"/>
    <x v="2"/>
    <n v="8.6"/>
    <n v="81"/>
    <x v="7"/>
    <s v="Teenage superheroes strive to prove themselves as members of the Justice League.Young Justice featuring Danica McKellar and Jesse McCartney has one or more episodes streaming with subscription on DC Universe, available for purchase on iTunes, available for purchase on Google Play, and 4 others. It's an action &amp; adventure and animation show with 78 episodes over 3 seasons. Young Justice is still airing with no announced date for the next episode or season. It has a high IMDb audience rating of 8.6 (30,611 votes) and was very well received by critics."/>
    <s v="3Seasons"/>
    <x v="46"/>
  </r>
  <r>
    <x v="279"/>
    <x v="2"/>
    <x v="1"/>
    <n v="7.9"/>
    <n v="81"/>
    <x v="76"/>
    <s v="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he Fosters featuring Maia Mitchell and David Lambert has one or more episodes streaming with subscription on Netflix, streaming with subscription on Prime Video, streaming with subscription on Hulu, and 6 others. It's a drama and family show with 105 episodes over 5 seasons. The Fosters is no longer running and has no plans to air new episodes or seasons. It has a high IMDb audience rating of 7.9 (24,168 votes) and was very well received by critics."/>
    <s v="5Seasons"/>
    <x v="49"/>
  </r>
  <r>
    <x v="280"/>
    <x v="19"/>
    <x v="1"/>
    <n v="8.5"/>
    <n v="81"/>
    <x v="80"/>
    <s v="Join RuPaul, the world's most famous drag queen, as the host, mentor and judge for the ultimate in drag queen competitions. The top drag queens in the U.S. will vie for drag stardom as RuPaul, in full glamazon drag, will reign supreme in all judging and eliminations while helping guide the contestants as they prepare for each challenge.RuPaul's Drag Race featuring RuPaul and Michelle Visage has one or more episodes streaming with subscription on Prime Video, streaming with subscription on Hulu, streaming on CBS All Access, and 8 others. It's a game show and LGBTQ show with 175 episodes over 12 seasons. RuPaul's Drag Race is still airing with no announced date for the next episode or season. It has a high IMDb audience rating of 8.5 (14,320 votes) and was well received by critics."/>
    <s v="12 Seasons"/>
    <x v="60"/>
  </r>
  <r>
    <x v="281"/>
    <x v="4"/>
    <x v="0"/>
    <n v="7.5"/>
    <n v="81"/>
    <x v="15"/>
    <s v="This thriller and coming-of-age drama follows the journey of an extraordinary young girl as she evades the relentless pursuit of an off-book CIA agent and tries to unearth the truth behind who she is. Based on the 2011 Joe Wright film.Hanna featuring Esme Creed-Miles and Mireille Enos has one or more episodes streaming with subscription on Prime Video, and available for purchase on VUDU. It's an action &amp; adventure and crime show with 16 episodes over 2 seasons. Hanna is still airing with no announced date for the next episode or season. It has a better than average IMDb audience rating of 7.5 (23,586 votes) and was well received by critics."/>
    <s v="2Seasons"/>
    <x v="3"/>
  </r>
  <r>
    <x v="282"/>
    <x v="33"/>
    <x v="1"/>
    <n v="8.8000000000000007"/>
    <n v="81"/>
    <x v="81"/>
    <s v="Monty Python’s Flying Circus is a British sketch comedy series created by the comedy group Monty Python and broadcast by the BBC from 1969 to 1974. The shows were composed of surreality, risqué or innuendo-laden humour, sight gags and observational sketches without punchlines. It also featured animations by Terry Gilliam, often sequenced or merged with live action. The first episode was recorded on 7 September and broadcast on 5 October 1969 on BBC One, with 45 episodes airing over four series from 1969 to 1974, plus two episodes for German TV.The show often targets the idiosyncrasies of British life, especially that of professionals, and is at times politically charged. The members of Monty Python were highly educated. Terry Jones and Michael Palin are Oxford University graduates; Eric Idle, John Cleese, and Graham Chapman attended Cambridge University; and American-born member Terry Gilliam is an Occidental College graduate. Their comedy is often pointedly intellectual, with numerous erudite references to philosophers and literary figures. The series followed and elaborated upon the style used by Spike Milligan in his ground breaking series Q5, rather than the traditional sketch show format. The team intended their humour to be impossible to categorise, and succeeded so completely that the adjective &quot;Pythonesque&quot; was invented to define it and, later, similar material.Monty Python's Flying Circus featuring Eric Idle and Connie Booth has one or more episodes streaming with subscription on Netflix, and available for purchase on iTunes. It's a comedy show with 51 episodes over 5 seasons. Monty Python's Flying Circus is no longer running and has no plans to air new episodes or seasons. It has a high IMDb audience rating of 8.8 (65,656 votes) and was very well received by critics."/>
    <s v="5Seasons"/>
    <x v="0"/>
  </r>
  <r>
    <x v="283"/>
    <x v="13"/>
    <x v="1"/>
    <n v="8.4"/>
    <n v="81"/>
    <x v="22"/>
    <s v="Film star Vince Chase navigates the vapid terrain of Los Angeles with a close circle of friends and his trusty agent.Entourage featuring Kevin Connolly and Adrian Grenier has one or more episodes streaming with subscription on HBO MAX, streaming on HBO, available for purchase on iTunes, and 4 others. It's a comedy and drama show with 96 episodes over 8 seasons. Entourage is no longer running and has no plans to air new episodes or seasons. It has a high IMDb audience rating of 8.4 (156,528 votes) and was well received by critics."/>
    <s v="8Seasons"/>
    <x v="1"/>
  </r>
  <r>
    <x v="284"/>
    <x v="4"/>
    <x v="0"/>
    <n v="8.5"/>
    <n v="81"/>
    <x v="74"/>
    <s v="Harley Quinn has finally broken things off once and for all with the Joker and attempts to make it on her own as the criminal Queenpin of Gotham City.Harley Quinn featuring Kaley Cuoco and Lake Bell has one or more episodes streaming with subscription on HBO MAX, streaming with subscription on DC Universe, and available for purchase on VUDU. It's an action &amp; adventure and animation show with 26 episodes over 2 seasons. Harley Quinn is still airing with no announced date for the next episode or season. It has a high IMDb audience rating of 8.5 (10,453 votes) and was very well received by critics."/>
    <s v="2Seasons"/>
    <x v="59"/>
  </r>
  <r>
    <x v="285"/>
    <x v="11"/>
    <x v="1"/>
    <n v="7.7"/>
    <n v="81"/>
    <x v="71"/>
    <s v="The provocative story of Cole, a time traveler from a decimated future in a high-stakes race against the clock. Utilizing a dangerous and untested method of time travel, he journeys from 2043 to the present day on a mission to locate and eradicate the source of a deadly plague that will all but annihilate the human race.12 Monkeys featuring Aaron Stanford and Amanda Schull has one or more episodes streaming with subscription on Hulu, available for purchase on iTunes, available for purchase on Google Play, and 4 others. It's an action &amp; adventure and drama show with 48 episodes over 4 seasons. 12 Monkeys is no longer running and has no plans to air new episodes or seasons. It has a high IMDb audience rating of 7.7 (39,290 votes) and was well received by critics."/>
    <s v="4 Seasons"/>
    <x v="4"/>
  </r>
  <r>
    <x v="286"/>
    <x v="12"/>
    <x v="1"/>
    <n v="7.6"/>
    <n v="81"/>
    <x v="1"/>
    <s v="Sydney Bristow, an agent who has been tricked to believe she is working for the U.S. government, is actually working for a criminal organization named the Alliance of Twelve. Upon learning this, Sydney becomes a double agent for the real CIA.Alias featuring Jennifer Garner and Michael Vartan has one or more episodes streaming with subscription on Prime Video, available for purchase on iTunes, available for purchase on Google Play, and 3 others. It's an action &amp; adventure and drama show with 105 episodes over 5 seasons. Alias is no longer running and has no plans to air new episodes or seasons. It has a high IMDb audience rating of 7.6 (44,518 votes) and was well received by critics."/>
    <s v="5Seasons"/>
    <x v="3"/>
  </r>
  <r>
    <x v="287"/>
    <x v="21"/>
    <x v="2"/>
    <n v="7.6"/>
    <n v="81"/>
    <x v="82"/>
    <s v="An animated fantasy-comedy series that follows Luz, a self-assured teenage girl who accidentally stumbles upon a portal to a magical world where she befriends a rebellious witch, Eda, and an adorably tiny warrior, King. Despite not having magical abilities, Luz pursues her dream of becoming a witch by serving as Eda's apprentice at the Owl House and ultimately finds a new family in an unlikely setting.The Owl House featuring Sarah-Nicole Robles and Wendie Malick has one or more episodes streaming with subscription on fuboTV, available for purchase on Google Play, available for purchase on YouTube, and 2 others. It's an action &amp; adventure and animation show with 19 episodes over 1 season. The Owl House is still airing with no announced date for the next episode or season. It has a high IMDb audience rating of 7.6 (1,533 votes) and was very well received by critics."/>
    <s v="1Season"/>
    <x v="87"/>
  </r>
  <r>
    <x v="288"/>
    <x v="5"/>
    <x v="0"/>
    <n v="7.7"/>
    <n v="81"/>
    <x v="13"/>
    <s v="After a teenage girl's perplexing suicide, a classmate receives a series of tapes that unravel the mystery of her tragic choice.13 Reasons Why featuring Dylan Minnette and Grace Saif has one or more episodes streaming with subscription on Netflix, available for purchase on Google Play, available for purchase on Prime Video, and 2 others. It's a drama and mystery show with 49 episodes over 4 seasons. 13 Reasons Why is no longer running and has no plans to air new episodes or seasons. It has a high IMDb audience rating of 7.7 (248,058 votes) and was not well received by critics."/>
    <s v="4Seasons"/>
    <x v="0"/>
  </r>
  <r>
    <x v="289"/>
    <x v="7"/>
    <x v="1"/>
    <n v="7.8"/>
    <n v="81"/>
    <x v="1"/>
    <s v="Ertuğrul Bey and the Knights Templar in the 13th century Alba and step and step with the struggle against brutal Mongols depicts the process of establishing the Ottoman principality.Resurrection: Ertugrul featuring Engin Altan Düzyatan and Nurettin Sönmez has one or more episodes streaming with subscription on Netflix. It's an action &amp; adventure and drama show with 424 episodes over 5 seasons. Resurrection: Ertugrul is no longer running and has no plans to air new episodes or seasons. It has a high IMDb audience rating of 7.8 (24,716 votes)."/>
    <s v="5Seasons"/>
    <x v="0"/>
  </r>
  <r>
    <x v="290"/>
    <x v="2"/>
    <x v="1"/>
    <n v="8.8000000000000007"/>
    <n v="81"/>
    <x v="83"/>
    <s v="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quot;Dumb Starbucks,” Nathan has always gone to the limit to make his ideas come to life. With his unorthodox approach to problem solving, Nathan’s genuine efforts to do good often draw the real people he encounters into an experience far beyond what they signed up for.Nathan For You featuring Nathan Fielder has one or more episodes streaming with subscription on Hulu, streaming via tv everywhere with Comedy Central (Via Cable/Satellite Provider), free on Comedy Central, and 5 others. It's a comedy and documentary show with 35 episodes over 4 seasons. Nathan For You is no longer running and has no plans to air new episodes or seasons. It has a high IMDb audience rating of 8.8 (17,634 votes) and was very well received by critics."/>
    <s v="4Seasons"/>
    <x v="88"/>
  </r>
  <r>
    <x v="291"/>
    <x v="3"/>
    <x v="1"/>
    <n v="8.3000000000000007"/>
    <n v="81"/>
    <x v="84"/>
    <s v="A comedic thriller that follows the bizarre adventures of eccentric “holistic” detective Dirk Gently and his reluctant assistant Todd. An adaptation of Douglas Adams’ wildly successful comic novels.Dirk Gently's Holistic Detective Agency featuring Samuel Barnett and Elijah Wood has one or more episodes streaming with subscription on Hulu, available for purchase on iTunes, available for purchase on Google Play, and 3 others. It's an action &amp; adventure and comedy show with 18 episodes over 2 seasons. Dirk Gently's Holistic Detective Agency is no longer running and has no plans to air new episodes or seasons. It has a high IMDb audience rating of 8.3 (40,933 votes) and was well received by critics."/>
    <s v="2Seasons"/>
    <x v="4"/>
  </r>
  <r>
    <x v="292"/>
    <x v="5"/>
    <x v="2"/>
    <n v="7.8"/>
    <n v="81"/>
    <x v="1"/>
    <s v="The orphaned Baudelaire children face trials, tribulations and the evil Count Olaf, all in their quest to uncover the secret of their parents' death.A Series of Unfortunate Events featuring Neil Patrick Harris and Patrick Warburton has one or more episodes streaming with subscription on Netflix. It's an action &amp; adventure and comedy show with 25 episodes over 3 seasons. A Series of Unfortunate Events is no longer running and has no plans to air new episodes or seasons. It has a high IMDb audience rating of 7.8 (52,020 votes) and was very well received by critics."/>
    <s v="3Seasons"/>
    <x v="0"/>
  </r>
  <r>
    <x v="293"/>
    <x v="25"/>
    <x v="2"/>
    <n v="7.9"/>
    <n v="81"/>
    <x v="1"/>
    <s v="At Deep Space Nine, a space station located next to a wormhole in the vicinity of the liberated planet of Bajor, Commander Sisko and crew welcome alien visitors, root out evildoers and solve all types of unexpected problems that come their way.Star Trek: Deep Space Nine featuring Avery Brooks and Nana Visitor has one or more episodes streaming with subscription on Netflix, streaming with subscription on Prime Video, streaming with subscription on Hulu, and 7 others. It's an action &amp; adventure and drama show with 179 episodes over 7 seasons. Star Trek: Deep Space Nine is no longer running and has no plans to air new episodes or seasons. It has a high IMDb audience rating of 7.9 (50,666 votes) and was very well received by critics."/>
    <s v="7 Seasons"/>
    <x v="49"/>
  </r>
  <r>
    <x v="294"/>
    <x v="16"/>
    <x v="2"/>
    <n v="7.9"/>
    <n v="81"/>
    <x v="4"/>
    <s v="The vampire Angel, cursed with a soul, moves to Los Angeles and aids people with supernatural-related problems while questing for his own redemption. A spin-off from Buffy the Vampire Slayer.Angel featuring David Boreanaz and Amy Acker has one or more episodes streaming with subscription on Hulu, available for purchase on iTunes, available for purchase on Google Play, and 4 others. It's an action &amp; adventure and comedy show with 110 episodes over 5 seasons. Angel is no longer running and has no plans to air new episodes or seasons. It has a high IMDb audience rating of 7.9 (63,070 votes) and was well received by critics."/>
    <s v="5 Seasons"/>
    <x v="4"/>
  </r>
  <r>
    <x v="295"/>
    <x v="5"/>
    <x v="0"/>
    <n v="7.8"/>
    <n v="81"/>
    <x v="66"/>
    <s v="They're ordinary husband and wife realtors until she undergoes a dramatic change that sends them down a road of death and destruction. In a good way.Santa Clarita Diet featuring Drew Barrymore and Timothy Olyphant has one or more episodes streaming with subscription on Netflix. It's a comedy and horror show with 30 episodes over 3 seasons. Santa Clarita Diet is no longer running and has no plans to air new episodes or seasons. It has a high IMDb audience rating of 7.8 (54,747 votes) and was very well received by critics."/>
    <s v="3Seasons"/>
    <x v="0"/>
  </r>
  <r>
    <x v="296"/>
    <x v="14"/>
    <x v="0"/>
    <n v="8.1999999999999993"/>
    <n v="80"/>
    <x v="22"/>
    <s v="An aging actor, who long ago enjoyed a brush with fame, makes his living as an acting coach.The Kominsky Method featuring Michael Douglas and Alan Arkin has one or more episodes streaming with subscription on Netflix, available for purchase on Prime Video, and available for purchase on VUDU. It's a comedy and drama show with 16 episodes over 2 seasons. The Kominsky Method is still airing with no announced date for the next episode or season. It has a high IMDb audience rating of 8.2 (22,306 votes) and was very well received by critics."/>
    <s v="2Seasons"/>
    <x v="0"/>
  </r>
  <r>
    <x v="297"/>
    <x v="11"/>
    <x v="1"/>
    <n v="7.6"/>
    <n v="80"/>
    <x v="22"/>
    <s v="When a woman is rescued from a doomsday cult and lands in New York City, she must navigate a world she didn’t think even existed anymore.Unbreakable Kimmy Schmidt featuring Ellie Kemper and Tituss Burgess has one or more episodes streaming with subscription on Netflix. It's a comedy and drama show with 51 episodes over 4 seasons. Unbreakable Kimmy Schmidt is no longer running and has no plans to air new episodes or seasons. It has a high IMDb audience rating of 7.6 (61,517 votes) and was very well received by critics."/>
    <s v="4Seasons"/>
    <x v="0"/>
  </r>
  <r>
    <x v="298"/>
    <x v="5"/>
    <x v="1"/>
    <n v="8.1999999999999993"/>
    <n v="80"/>
    <x v="85"/>
    <s v="A young surgeon with Savant syndrome is recruited into the surgical unit of a prestigious hospital. The question will arise: can a person who doesn't have the ability to relate to people actually save their lives?The Good Doctor featuring Freddie Highmore and Nicholas Gonzalez has one or more episodes streaming with subscription on Hulu, free on ABC, available for purchase on iTunes, and 4 others. It's a drama show with 56 episodes over 3 seasons. The Good Doctor is still airing with no announced date for the next episode or season. It has a high IMDb audience rating of 8.2 (57,963 votes)."/>
    <s v="3Seasons"/>
    <x v="17"/>
  </r>
  <r>
    <x v="299"/>
    <x v="11"/>
    <x v="1"/>
    <n v="8"/>
    <n v="80"/>
    <x v="27"/>
    <s v="In a land controlled by feudal barons, a great warrior and a young boy embark on a journey across a dangerous land to find enlightenment. A genre-bending martial arts series very loosely based on the classic Chinese tale Journey to the West.Into the Badlands featuring Daniel Wu and Emily Beecham has one or more episodes streaming with subscription on Netflix, available for purchase on iTunes, available for purchase on Google Play, and 3 others. It's an action &amp; adventure and drama show with 32 episodes over 3 seasons. Into the Badlands is no longer running and has no plans to air new episodes or seasons. It has a high IMDb audience rating of 8.0 (39,904 votes) and was well received by critics."/>
    <s v="3Seasons"/>
    <x v="0"/>
  </r>
  <r>
    <x v="300"/>
    <x v="5"/>
    <x v="1"/>
    <n v="8.1"/>
    <n v="80"/>
    <x v="0"/>
    <s v="Inspired by actual events, this true crime anthology series takes a deep dive into the dark, twisted minds of terrorists and follows the brave souls who hunt them down.Manhunt featuring Cameron Britton and Jack Huston has one or more episodes streaming with subscription on Netflix, streaming with subscription on fuboTV, available for purchase on iTunes, and 3 others. It's a crime and drama show with 18 episodes over 2 seasons. Manhunt is still airing with no announced date for the next episode or season. It has a high IMDb audience rating of 8.1 (47,270 votes) and was very well received by critics."/>
    <s v="2Seasons"/>
    <x v="89"/>
  </r>
  <r>
    <x v="301"/>
    <x v="6"/>
    <x v="0"/>
    <n v="8.5"/>
    <n v="80"/>
    <x v="86"/>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Borgen featuring Sidse Babett Knudsen and Pilou Asbæk has one or more episodes streaming with subscription on Netflix, and streaming with subscription on Hoopla. It's a drama show with 30 episodes over 3 seasons. Borgen is no longer running and has no plans to air new episodes or seasons. It has a high IMDb audience rating of 8.5 (16,801 votes) and was very well received by critics."/>
    <s v="3Seasons"/>
    <x v="83"/>
  </r>
  <r>
    <x v="302"/>
    <x v="11"/>
    <x v="0"/>
    <n v="8.1999999999999993"/>
    <n v="80"/>
    <x v="54"/>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Food Wars! Shokugeki no Soma featuring Yoshitsugu Matsuoka and Ai Kayano has one or more episodes streaming with subscription on Netflix, streaming with subscription on HBO MAX, streaming with subscription on Hulu, and 5 others. It's an animation and anime show with 76 episodes over 5 seasons. Food Wars! Shokugeki no Soma is still airing with no announced date for the next episode or season. It has a high IMDb audience rating of 8.2 (5,530 votes)."/>
    <s v="5Seasons"/>
    <x v="29"/>
  </r>
  <r>
    <x v="303"/>
    <x v="19"/>
    <x v="0"/>
    <n v="8.1999999999999993"/>
    <n v="80"/>
    <x v="22"/>
    <s v="Years after he turned his back on his hometown, a burned-out major league ballplayer returns to teach phys ed at his old middle school.Eastbound &amp; Down featuring Danny McBride and Steve Little has one or more episodes streaming with subscription on HBO MAX, streaming on HBO, streaming with subscription on Prime Video, and 6 others. It's a comedy and drama show with 29 episodes over 4 seasons. Eastbound &amp; Down is no longer running and has no plans to air new episodes or seasons. It has a high IMDb audience rating of 8.2 (50,493 votes) and was very well received by critics."/>
    <s v="4 Seasons"/>
    <x v="47"/>
  </r>
  <r>
    <x v="304"/>
    <x v="8"/>
    <x v="0"/>
    <n v="8.6999999999999993"/>
    <n v="80"/>
    <x v="9"/>
    <s v="Set in the corridors of power and spin, the Minister for Social Affairs is continually harassed by Number 10's policy enforcer and dependent on his not-so-reliable team of civil servants.The Thick of It featuring Chris Addison and Peter Capaldi has one or more episodes streaming with subscription on HBO MAX, streaming with subscription on Prime Video, streaming with subscription on BritBox, and 4 others. It's a comedy show with 25 episodes over 4 seasons. The Thick of It is no longer running and has no plans to air new episodes or seasons. It has a high IMDb audience rating of 8.7 (19,808 votes) and was well received by critics."/>
    <s v="4Seasons"/>
    <x v="90"/>
  </r>
  <r>
    <x v="305"/>
    <x v="21"/>
    <x v="0"/>
    <n v="7.6"/>
    <n v="80"/>
    <x v="4"/>
    <s v="A teen navigates the complexities of high school, family and her sexuality while dealing with new superpowers. Based on Charles Forsman's graphic novel.I Am Not Okay with This featuring Sofia Bryant and Richard Ellis has one or more episodes streaming with subscription on Netflix. It's an action &amp; adventure and comedy show with 7 episodes over 1 season. I Am Not Okay with This is still airing with no announced date for the next episode or season. It has a high IMDb audience rating of 7.6 (34,761 votes) and was well received by critics."/>
    <s v="1 Season"/>
    <x v="0"/>
  </r>
  <r>
    <x v="306"/>
    <x v="21"/>
    <x v="0"/>
    <n v="8"/>
    <n v="80"/>
    <x v="0"/>
    <s v="A family’s lives are irreparably disrupted when the 14-year-old son is accused of murdering a fellow classmate.Defending Jacob featuring Chris Evans and Michelle Dockery has one or more episodes streaming with subscription on Apple TV+. It's a crime and drama show with 8 episodes over 1 season. Defending Jacob is no longer running and has no plans to air new episodes or seasons. It has a high IMDb audience rating of 8.0 (23,384 votes) and was well received by critics."/>
    <s v="1Season"/>
    <x v="52"/>
  </r>
  <r>
    <x v="307"/>
    <x v="3"/>
    <x v="1"/>
    <n v="6.8"/>
    <n v="80"/>
    <x v="17"/>
    <s v="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DC's Legends of Tomorrow featuring Caity Lotz and Dominic Purcell has one or more episodes streaming with subscription on Netflix, free on The CW, available for purchase on iTunes, and 3 others. It's an action &amp; adventure and drama show with 83 episodes over 5 seasons. DC's Legends of Tomorrow is still airing with no announced date for the next episode or season. It has a better than average IMDb audience rating of 6.8 (89,633 votes) and was well received by critics."/>
    <s v="5 Seasons"/>
    <x v="21"/>
  </r>
  <r>
    <x v="308"/>
    <x v="13"/>
    <x v="0"/>
    <n v="8.5"/>
    <n v="80"/>
    <x v="59"/>
    <s v="Hank and Dean Venture, with their father Doctor Venture and faithful bodyguard Brock Samson, go on wild adventures facing megalomaniacs, zombies, and suspicious ninjas, all for the glory of adventure. Or something like that.The Venture Bros. featuring Doc Hammer and Christopher McCulloch has one or more episodes streaming with subscription on Hulu, streaming via tv everywhere with Adult Swim (Via Cable/Satellite Provider), free on Adult Swim, and 6 others. It's an action &amp; adventure and animation show with 84 episodes over 7 seasons. The Venture Bros. is no longer running and has no plans to air new episodes or seasons. It has a high IMDb audience rating of 8.5 (23,064 votes) and was very well received by critics."/>
    <s v="7Seasons"/>
    <x v="63"/>
  </r>
  <r>
    <x v="309"/>
    <x v="29"/>
    <x v="1"/>
    <n v="8.6"/>
    <n v="80"/>
    <x v="87"/>
    <s v="A crazy comedy about three rather strange parish priests exiled to Craggy Island, a remote island off the Irish west coast.Father Ted featuring Dermot Morgan and Ardal O'Hanlon has one or more episodes streaming with subscription on Prime Video, streaming with subscription on Acorn TV, free on PlutoTV, and 5 others. It's a comedy show with 26 episodes over 3 seasons. Father Ted is no longer running and has no plans to air new episodes or seasons. It has a high IMDb audience rating of 8.6 (35,652 votes) and was very well received by critics."/>
    <s v="3Seasons"/>
    <x v="91"/>
  </r>
  <r>
    <x v="310"/>
    <x v="4"/>
    <x v="0"/>
    <n v="8.1999999999999993"/>
    <n v="80"/>
    <x v="2"/>
    <s v="After getting into a near fatal car accident, Alma discovers she has a new relationship with time and uses this ability to find out the truth about her father’s death.Undone featuring Rosa Salazar and Constance Marie has one or more episodes streaming with subscription on Prime Video. It's an animation and comedy show with 8 episodes over 1 season. Undone is still airing with no announced date for the next episode or season. It has a high IMDb audience rating of 8.2 (11,894 votes) and was very well received by critics."/>
    <s v="1Season"/>
    <x v="3"/>
  </r>
  <r>
    <x v="311"/>
    <x v="5"/>
    <x v="0"/>
    <n v="7.8"/>
    <n v="80"/>
    <x v="3"/>
    <s v="An ex-con becomes the traveling partner of a conman who turns out to be one of the older gods trying to recruit troops to battle the upstart deities. Based on Neil Gaiman's fantasy novel.American Gods featuring Ricky Whittle and Ian McShane has one or more episodes streaming on Starz, available for purchase on iTunes, available for purchase on Google Play, and 2 others. It's an action &amp; adventure and drama show with 16 episodes over 2 seasons. American Gods is still airing with no announced date for the next episode or season. It has a high IMDb audience rating of 7.8 (70,782 votes) and was well received by critics."/>
    <s v="2Seasons"/>
    <x v="72"/>
  </r>
  <r>
    <x v="312"/>
    <x v="6"/>
    <x v="1"/>
    <n v="7.6"/>
    <n v="80"/>
    <x v="0"/>
    <s v="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Blue Bloods featuring Tom Selleck and Donnie Wahlberg has one or more episodes streaming with subscription on Hulu, streaming on CBS All Access, free on CBS, and 7 others. It's a crime and drama show with 220 episodes over 10 seasons. Blue Bloods is still airing with no announced date for the next episode or season. It has a high IMDb audience rating of 7.6 (31,371 votes) and was very well received by critics."/>
    <s v="10Seasons"/>
    <x v="68"/>
  </r>
  <r>
    <x v="313"/>
    <x v="5"/>
    <x v="0"/>
    <n v="7.8"/>
    <n v="80"/>
    <x v="88"/>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Alias Grace featuring Sarah Gadon and Edward Holcroft has one or more episodes streaming with subscription on Netflix. It's a biography and crime show with 6 episodes over 1 season. Alias Grace is no longer running and has no plans to air new episodes or seasons. It has a high IMDb audience rating of 7.8 (23,890 votes) and was very well received by critics."/>
    <s v="1Season"/>
    <x v="0"/>
  </r>
  <r>
    <x v="314"/>
    <x v="4"/>
    <x v="0"/>
    <n v="8.4"/>
    <n v="80"/>
    <x v="37"/>
    <s v="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Years and Years featuring Emma Thompson and Russell Tovey has one or more episodes streaming with subscription on HBO MAX, streaming on HBO, available for purchase on Google Play, and 2 others. It's a drama and fantasy show with 6 episodes over 1 season. Years and Years is no longer running and has no plans to air new episodes or seasons. It has a high IMDb audience rating of 8.4 (19,221 votes) and was very well received by critics."/>
    <s v="1 Season"/>
    <x v="1"/>
  </r>
  <r>
    <x v="315"/>
    <x v="14"/>
    <x v="1"/>
    <n v="7.7"/>
    <n v="80"/>
    <x v="27"/>
    <s v="Explore the high-pressure experiences of police officers, paramedics and firefighters who are thrust into the most frightening, shocking and heart-stopping situations. These emergency responders must try to balance saving those who are at their most vulnerable with solving the problems in their own lives.9-1-1 featuring Peter Krause and Angela Bassett has one or more episodes streaming with subscription on Hulu, streaming via tv everywhere with FOX (Via Cable/Satellite Provider), free on FOX, and 6 others. It's an action &amp; adventure and drama show with 46 episodes over 3 seasons. 9-1-1 is still airing with no announced date for the next episode or season. It has a high IMDb audience rating of 7.7 (19,135 votes) and was well received by critics."/>
    <s v="3Seasons"/>
    <x v="92"/>
  </r>
  <r>
    <x v="316"/>
    <x v="0"/>
    <x v="1"/>
    <n v="7.6"/>
    <n v="80"/>
    <x v="1"/>
    <s v="The series picks up four years after the events of Terminator 2: Judgment Day with John and Sarah Connor trying to stay under-the-radar from the government, as they plot to destroy the computer network, Skynet, in hopes of preventing Armageddon.Terminator: The Sarah Connor Chronicles featuring Lena Headey and Thomas Dekker has one or more episodes free on IMDb TV, available for purchase on iTunes, available for purchase on Google Play, and 4 others. It's an action &amp; adventure and animation show with 31 episodes over 2 seasons. Terminator: The Sarah Connor Chronicles is no longer running and has no plans to air new episodes or seasons. It has a high IMDb audience rating of 7.6 (56,798 votes) and was well received by critics."/>
    <s v="2Seasons"/>
    <x v="22"/>
  </r>
  <r>
    <x v="317"/>
    <x v="0"/>
    <x v="1"/>
    <n v="7.9"/>
    <n v="80"/>
    <x v="6"/>
    <s v="A five-person team comprised of a thief, a grifter, a hacker, and a retrieval specialist, led by former insurance investigator Nathan Ford, use their skills to fight corporate and governmental injustices inflicted on ordinary citizens.Leverage featuring Timothy Hutton and Gina Bellman has one or more episodes free on PlutoTV, free on Tubi, free on VUDU, and 6 others. It's an action &amp; adventure and comedy show with 77 episodes over 5 seasons. Leverage is no longer running and has no plans to air new episodes or seasons. It has a high IMDb audience rating of 7.9 (41,286 votes) and was very well received by critics."/>
    <s v="5Seasons"/>
    <x v="93"/>
  </r>
  <r>
    <x v="318"/>
    <x v="20"/>
    <x v="0"/>
    <n v="8.1"/>
    <n v="80"/>
    <x v="1"/>
    <s v="The Tudors is a history-based drama series following the young, vibrant King Henry VIII, a competitive and lustful monarch who navigates the intrigues of the English court and the human heart with equal vigor and justifiable suspicion.The Tudors featuring Jonathan Rhys Meyers and Henry Cavill has one or more episodes streaming with subscription on Netflix, streaming on Showtime, streaming with subscription on fuboTV, and 5 others. It's an action &amp; adventure and drama show with 39 episodes over 4 seasons. The Tudors is no longer running and has no plans to air new episodes or seasons. It has a high IMDb audience rating of 8.1 (66,877 votes) and was well received by critics."/>
    <s v="4Seasons"/>
    <x v="23"/>
  </r>
  <r>
    <x v="319"/>
    <x v="5"/>
    <x v="1"/>
    <n v="8.3000000000000007"/>
    <n v="80"/>
    <x v="89"/>
    <s v="A ruthless outlaw terrorizes the West in search of a former member of his gang, who’s found a new life in a quiet town populated only by women.Godless featuring Jeff Daniels and Michelle Dockery has one or more episodes streaming with subscription on Netflix, and available for purchase on Prime Video. It's a crime and documentary show with 8 episodes over 1 season. Godless is no longer running and has no plans to air new episodes or seasons. It has a high IMDb audience rating of 8.3 (47,924 votes) and was well received by critics."/>
    <s v="1Season"/>
    <x v="0"/>
  </r>
  <r>
    <x v="320"/>
    <x v="7"/>
    <x v="0"/>
    <n v="8.5"/>
    <n v="80"/>
    <x v="73"/>
    <s v="Set in downtown New York in 1900, 'The Knick' is centered on the Knickerbocker Hospital and the groundbreaking surgeons, nurses and staff who work there, pushing the bounds of medicine in a time of astonishingly high mortality rates and zero antibiotics. John Thackery is a brilliant surgeon pioneering new methods in the field, despite his secret addiction to cocaine. He leads a team of doctors including his protégé Dr. Everett Gallinger; the young Dr. Bertie Chickering Jr. and Dr. Algernon Edwards, a promising surgeon who's been recently thrust upon him. The lively cast of characters at the hospital also includes Cornelia Robertson, the daughter of its benefactor, Captain August Robertson; surly ambulance driver Tom Cleary; Lucy Elkins; a fresh-faced nurse from the country; the crooked hospital administrator Herman Barrow; and Sister Harriet, a nun who isn't afraid to speak her mind.The Knick featuring Clive Owen and André Holland has one or more episodes streaming on Cinemax, available for purchase on iTunes, available for purchase on Google Play, and 3 others. It's a drama show with 20 episodes over 2 seasons. The Knick is no longer running and has no plans to air new episodes or seasons. It has a high IMDb audience rating of 8.5 (42,645 votes) and was very well received by critics."/>
    <s v="2Seasons"/>
    <x v="71"/>
  </r>
  <r>
    <x v="321"/>
    <x v="20"/>
    <x v="1"/>
    <n v="7.4"/>
    <n v="80"/>
    <x v="28"/>
    <s v="An exclusive group of privileged teens from a posh prep school on Manhattan's Upper East Side whose lives revolve around the blog of the all-knowing albeit ultra-secretive Gossip Girl.Gossip Girl featuring Blake Lively and Leighton Meester has one or more episodes streaming with subscription on Netflix, and available for purchase on VUDU. It's a comedy and drama show with 122 episodes over 6 seasons. Gossip Girl is no longer running and has no plans to air new episodes or seasons. It has a better than average IMDb audience rating of 7.4 (149,147 votes) and was well received by critics."/>
    <s v="6Seasons"/>
    <x v="0"/>
  </r>
  <r>
    <x v="322"/>
    <x v="6"/>
    <x v="1"/>
    <n v="7.7"/>
    <n v="80"/>
    <x v="6"/>
    <s v="Nikita will stop at nothing to expose and destroy Division, the secret U.S. agency who trained her as a spy and assassin.Nikita featuring Maggie Q and Shane West has one or more episodes free on IMDb TV, available for purchase on iTunes, available for purchase on Google Play, and 4 others. It's an action &amp; adventure and crime show with 73 episodes over 4 seasons. Nikita is no longer running and has no plans to air new episodes or seasons. It has a high IMDb audience rating of 7.7 (48,001 votes) and was well received by critics."/>
    <s v="4Seasons"/>
    <x v="22"/>
  </r>
  <r>
    <x v="323"/>
    <x v="11"/>
    <x v="1"/>
    <n v="8.1999999999999993"/>
    <n v="80"/>
    <x v="15"/>
    <s v="A top Israeli agent comes out of retirement to hunt for a Palestinian militant he thought he'd killed, setting a chaotic chain of events into motion.Fauda featuring Lior Raz and Netta Garti has one or more episodes streaming with subscription on Netflix. It's an action &amp; adventure and crime show with 36 episodes over 3 seasons. Fauda is still airing with no announced date for the next episode or season. It has a high IMDb audience rating of 8.2 (16,808 votes) and was very well received by critics."/>
    <s v="3Seasons"/>
    <x v="0"/>
  </r>
  <r>
    <x v="324"/>
    <x v="3"/>
    <x v="0"/>
    <n v="7.3"/>
    <n v="80"/>
    <x v="27"/>
    <s v="Given superstrength and durability by a sabotaged experiment, a wrongly accused man escapes prison to become a superhero for hire.Marvel's Luke Cage featuring Mike Colter and Simone Missick has one or more episodes streaming with subscription on Netflix, available for purchase on iTunes, available for purchase on Google Play, and 3 others. It's an action &amp; adventure and crime show with 26 episodes over 2 seasons. Marvel's Luke Cage is no longer running and has no plans to air new episodes or seasons. It has a better than average IMDb audience rating of 7.3 (113,917 votes) and was well received by critics."/>
    <s v="2 Seasons"/>
    <x v="0"/>
  </r>
  <r>
    <x v="325"/>
    <x v="34"/>
    <x v="1"/>
    <n v="8.1"/>
    <n v="80"/>
    <x v="8"/>
    <s v="Crank up the 8-track and flash back to a time when platform shoes and puka shells were all the rage in this hilarious retro-sitcom. For Eric, Kelso, Jackie, Hyde, Donna and Fez, a group of high school teens who spend most of their time hanging out in Eric’s basement, life in the ‘70s isn’t always so groovy. But between trying to figure out the meaning of life, avoiding their parents, and dealing with out-of-control hormones, they’ve learned one thing for sure: they’ll always get by with a little help from their friends.That '70s Show featuring Laura Prepon and Mila Kunis has one or more episodes streaming with subscription on Netflix, streaming via tv everywhere with Comedy Central (Via Cable/Satellite Provider), and available for purchase on Prime Video. It's a comedy and family show with 207 episodes over 8 seasons. That '70s Show is no longer running and has no plans to air new episodes or seasons. It has a high IMDb audience rating of 8.1 (151,185 votes)."/>
    <s v="8Seasons"/>
    <x v="94"/>
  </r>
  <r>
    <x v="326"/>
    <x v="23"/>
    <x v="1"/>
    <n v="8.3000000000000007"/>
    <n v="80"/>
    <x v="27"/>
    <s v="A Wyoming sheriff rebuilds his life and career following the death of his wife. Based on the “Walt Longmire” series of mystery novels written by best-selling author Craig Johnson.Longmire featuring Robert Taylor and Lou Diamond Phillips has one or more episodes streaming with subscription on Netflix, available for purchase on iTunes, available for purchase on Google Play, and 3 others. It's an action &amp; adventure and crime show with 63 episodes over 6 seasons. Longmire is no longer running and has no plans to air new episodes or seasons. It has a high IMDb audience rating of 8.3 (28,137 votes) and was well received by critics."/>
    <s v="6Seasons"/>
    <x v="0"/>
  </r>
  <r>
    <x v="327"/>
    <x v="4"/>
    <x v="0"/>
    <n v="7.9"/>
    <n v="80"/>
    <x v="90"/>
    <s v="In a mystical and dark city filled with humans, fairies and other creatures, a police detective investigates a series of gruesome murders leveled against the fairy population. During his investigation, the detective becomes the prime suspect and must find the real killer to clear his name.Carnival Row featuring Orlando Bloom and Cara Delevingne has one or more episodes streaming with subscription on Prime Video. It's a crime and drama show with 8 episodes over 1 season. Carnival Row is still airing with no announced date for the next episode or season. It has a high IMDb audience rating of 7.9 (41,603 votes) and was met with mixed reviews by critics."/>
    <s v="1Season"/>
    <x v="3"/>
  </r>
  <r>
    <x v="328"/>
    <x v="23"/>
    <x v="1"/>
    <n v="7.7"/>
    <n v="80"/>
    <x v="38"/>
    <s v="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quot;gladiators in suits,&quot; who specialize in fixing the lives of other people, have trouble fixing those closest at hand -- their own.Scandal featuring Kerry Washington and Darby Stanchfield has one or more episodes streaming with subscription on Hulu, available for purchase on iTunes, available for purchase on Google Play, and 3 others. It's a crime and drama show with 124 episodes over 7 seasons. Scandal is no longer running and has no plans to air new episodes or seasons. It has a high IMDb audience rating of 7.7 (66,218 votes) and was very well received by critics."/>
    <s v="7Seasons"/>
    <x v="4"/>
  </r>
  <r>
    <x v="329"/>
    <x v="14"/>
    <x v="1"/>
    <n v="7.8"/>
    <n v="80"/>
    <x v="22"/>
    <s v="Two strangers are drawn to a mysterious pharmaceutical trial that will, they're assured, with no complications or side-effects whatsoever, solve all of their problems, permanently. Things do not go as planned.Maniac featuring Emma Stone and Jonah Hill has one or more episodes streaming with subscription on Netflix. It's a comedy and drama show with 10 episodes over 1 season. Maniac is no longer running and has no plans to air new episodes or seasons. It has a high IMDb audience rating of 7.8 (62,114 votes) and was well received by critics."/>
    <s v="1Season"/>
    <x v="0"/>
  </r>
  <r>
    <x v="330"/>
    <x v="21"/>
    <x v="0"/>
    <n v="7.6"/>
    <n v="80"/>
    <x v="0"/>
    <s v="Set in 1932 Los Angeles, the series focuses on the origin story of famed defense lawyer Perry Mason. Living check-to-check as a low-rent private investigator, Mason is haunted by his wartime experiences in France and suffering the effects of a broken marriage. L.A. is booming while the rest of the country recovers from the Great Depression — but a kidnapping gone very wrong leads to Mason exposing a fractured city as he uncovers the truth of the crime.Perry Mason featuring Matthew Rhys and Juliet Rylance has one or more episodes streaming with subscription on HBO MAX, and streaming on HBO. It's a crime and drama show with 8 episodes over 1 season. Perry Mason is still airing with no announced date for the next episode or season. It has a high IMDb audience rating of 7.6 (10,083 votes) and was well received by critics."/>
    <s v="1Season"/>
    <x v="1"/>
  </r>
  <r>
    <x v="331"/>
    <x v="7"/>
    <x v="0"/>
    <n v="8.4"/>
    <n v="80"/>
    <x v="35"/>
    <s v="Broad City follows two women throughout their daily lives in New York City, making the smallest and mundane events hysterical and disturbing to watch all at the same time.Broad City featuring Abbi Jacobson and Ilana Glazer has one or more episodes streaming with subscription on Hulu, streaming via tv everywhere with Comedy Central (Via Cable/Satellite Provider), free on Comedy Central, and 6 others. It's a comedy show with 51 episodes over 5 seasons. Broad City is no longer running and has no plans to air new episodes or seasons. It has a high IMDb audience rating of 8.4 (25,700 votes) and was very well received by critics."/>
    <s v="5Seasons"/>
    <x v="88"/>
  </r>
  <r>
    <x v="332"/>
    <x v="18"/>
    <x v="2"/>
    <n v="8.4"/>
    <n v="80"/>
    <x v="39"/>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Stargate SG-1 featuring Christopher Judge and Amanda Tapping has one or more episodes streaming with subscription on Hulu, available for purchase on iTunes, available for purchase on Google Play, and 2 others. It's an action &amp; adventure and drama show with 215 episodes over 10 seasons. Stargate SG-1 is no longer running and has no plans to air new episodes or seasons. It has a high IMDb audience rating of 8.4 (81,586 votes)."/>
    <s v="10 Seasons"/>
    <x v="4"/>
  </r>
  <r>
    <x v="333"/>
    <x v="14"/>
    <x v="1"/>
    <n v="8.1999999999999993"/>
    <n v="80"/>
    <x v="91"/>
    <s v="When a controversial cult leader builds a utopian city in the Oregon desert, conflict with the locals escalates into a national scandal.Wild Wild Country featuring Ma Anand Sheela and Jane Stork has one or more episodes streaming with subscription on Netflix. It's a crime and cult show with 6 episodes over 1 season. Wild Wild Country is no longer running and has no plans to air new episodes or seasons. It has a high IMDb audience rating of 8.2 (22,689 votes) and was very well received by critics."/>
    <s v="1Season"/>
    <x v="0"/>
  </r>
  <r>
    <x v="334"/>
    <x v="11"/>
    <x v="0"/>
    <n v="7.5"/>
    <n v="80"/>
    <x v="12"/>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Dark Matter featuring Melissa O'Neil and Anthony Lemke has one or more episodes streaming with subscription on Netflix, available for purchase on iTunes, available for purchase on Google Play, and 4 others. It's an action &amp; adventure and drama show with 39 episodes over 3 seasons. Dark Matter is no longer running and has no plans to air new episodes or seasons. It has a better than average IMDb audience rating of 7.5 (38,134 votes) and was very well received by critics."/>
    <s v="3Seasons"/>
    <x v="0"/>
  </r>
  <r>
    <x v="335"/>
    <x v="2"/>
    <x v="0"/>
    <n v="7.9"/>
    <n v="80"/>
    <x v="28"/>
    <s v="William Masters and Virginia Johnson are real-life pioneers of the science of human sexuality. Their research touched off the sexual revolution and took them from a midwestern teaching hospital to the cover of Time magazine and multiple appearances on Johnny Carson's couch. He is a brilliant scientist out of touch with his own feelings, and she is a single working mother ahead of her time. The series chronicles their unusual lives, romance, and unlikely pop culture trajectory.Masters of Sex featuring Michael Sheen and Lizzy Caplan has one or more episodes available for purchase on iTunes, available for purchase on Google Play, available for purchase on Prime Video, and 1 other. It's a drama and romance show with 48 episodes over 4 seasons. Masters of Sex is no longer running and has no plans to air new episodes or seasons. It has a high IMDb audience rating of 7.9 (34,235 votes) and was well received by critics."/>
    <s v="4Seasons"/>
    <x v="80"/>
  </r>
  <r>
    <x v="336"/>
    <x v="34"/>
    <x v="0"/>
    <n v="8.9"/>
    <n v="80"/>
    <x v="11"/>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Cowboy Bebop featuring Kouichi Yamadera and Unsho Ishizuka has one or more episodes streaming with subscription on Hulu, free on Adult Swim, free on Tubi, and 6 others. It's an action &amp; adventure and animation show with 26 episodes over 1 season. Cowboy Bebop is no longer running and has no plans to air new episodes or seasons. It has a high IMDb audience rating of 8.9 (85,408 votes)."/>
    <s v="1 Season"/>
    <x v="75"/>
  </r>
  <r>
    <x v="337"/>
    <x v="1"/>
    <x v="1"/>
    <n v="8.1"/>
    <n v="80"/>
    <x v="52"/>
    <s v="Workaholics is an American sitcom about three recent college dropouts, roommates, and co-workers at a telemarketing company and their drug dealer.Workaholics featuring Adam Devine and Blake Anderson has one or more episodes streaming with subscription on Prime Video, streaming with subscription on Hulu, streaming via tv everywhere with Comedy Central (Via Cable/Satellite Provider), and 7 others. It's a comedy show with 86 episodes over 7 seasons. Workaholics is no longer running and has no plans to air new episodes or seasons. It has a high IMDb audience rating of 8.1 (45,146 votes) and was well received by critics."/>
    <s v="7Seasons"/>
    <x v="60"/>
  </r>
  <r>
    <x v="338"/>
    <x v="34"/>
    <x v="1"/>
    <n v="7.1"/>
    <n v="80"/>
    <x v="12"/>
    <s v="Three sisters (Prue, Piper and Phoebe) reunite and unlock their powers to become the Charmed Ones, the most powerful good witches of all time, whose prophesied destiny is to protect innocent lives from evil beings such as demons and warlocks. Each sister possesses unique magical powers that grow and evolve, while they attempt to maintain normal lives in modern day San Francisco.Charmed featuring Holly Marie Combs and Alyssa Milano has one or more episodes streaming with subscription on Netflix, streaming via tv everywhere with TNT, available for purchase on iTunes, and 4 others. It's a comedy and drama show with 183 episodes over 8 seasons. Charmed is no longer running and has no plans to air new episodes or seasons. It has a better than average IMDb audience rating of 7.1 (73,749 votes) and was well received by critics."/>
    <s v="8Seasons"/>
    <x v="95"/>
  </r>
  <r>
    <x v="339"/>
    <x v="20"/>
    <x v="1"/>
    <n v="8.5"/>
    <n v="80"/>
    <x v="56"/>
    <s v="The trials and tribulations of a two man, digi-folk band who have moved from New Zealand to New York in the hope of forging a successful music career. So far they've managed to find a manager (whose &quot;other&quot; job is at the New Zealand Consulate), one fan (a married obsessive) and one friend (who owns the local pawn shop) -- but not much else.Flight of the Conchords featuring Bret McKenzie and Jemaine Clement has one or more episodes streaming with subscription on HBO MAX, streaming on HBO, available for purchase on iTunes, and 5 others. It's a comedy and musical show with 22 episodes over 2 seasons. Flight of the Conchords is no longer running and has no plans to air new episodes or seasons. It has a high IMDb audience rating of 8.5 (54,105 votes) and was very well received by critics."/>
    <s v="2Seasons"/>
    <x v="1"/>
  </r>
  <r>
    <x v="340"/>
    <x v="19"/>
    <x v="0"/>
    <n v="8.1999999999999993"/>
    <n v="80"/>
    <x v="92"/>
    <s v="The League is an American sitcom and semi-improvised comedy about a about a fantasy football league and its members and their everyday lives.The League featuring Mark Duplass and Stephen Rannazzisi has one or more episodes streaming with subscription on Hulu, available for purchase on iTunes, available for purchase on Google Play, and 4 others. It's a comedy and drama show with 88 episodes over 7 seasons. The League is no longer running and has no plans to air new episodes or seasons. It has a high IMDb audience rating of 8.2 (43,062 votes) and was well received by critics."/>
    <s v="7Seasons"/>
    <x v="4"/>
  </r>
  <r>
    <x v="341"/>
    <x v="0"/>
    <x v="0"/>
    <n v="8.4"/>
    <n v="80"/>
    <x v="93"/>
    <s v="Welcome to a world of futile crushes, sibling brawls, getting drunk too quickly and casting constant aspersions about your friends' sexuality.The Inbetweeners featuring Simon Bird and Joe Thomas has one or more episodes streaming with subscription on Netflix, free on Tubi, available for purchase on Google Play, and 1 other. It's a comedy show with 18 episodes over 3 seasons. The Inbetweeners is no longer running and has no plans to air new episodes or seasons. It has a high IMDb audience rating of 8.4 (78,232 votes) and was met with mixed reviews by critics."/>
    <s v="3Seasons"/>
    <x v="21"/>
  </r>
  <r>
    <x v="342"/>
    <x v="5"/>
    <x v="1"/>
    <n v="8.1999999999999993"/>
    <n v="80"/>
    <x v="62"/>
    <s v="A true-crime satire that explores the aftermath of a costly high school prank that left twenty-seven faculty cars vandalized with phallic images.American Vandal featuring Griffin Gluck and Tyler Alvarez has one or more episodes streaming with subscription on Netflix, available for purchase on iTunes, available for purchase on Prime Video, and 1 other. It's a comedy and crime show with 16 episodes over 2 seasons. American Vandal is no longer running and has no plans to air new episodes or seasons. It has a high IMDb audience rating of 8.2 (25,817 votes) and was very well received by critics."/>
    <s v="2Seasons"/>
    <x v="0"/>
  </r>
  <r>
    <x v="343"/>
    <x v="6"/>
    <x v="0"/>
    <n v="8.5"/>
    <n v="80"/>
    <x v="25"/>
    <s v="Louis C.K. stars as a fictionalized version of himself; a comedian and newly divorced father raising his two daughters in New York City.Louie featuring Louis C. K. and Hadley Delany has one or more episodes available for purchase on iTunes, available for purchase on Google Play, available for purchase on Prime Video, and 2 others. It's a comedy and drama show with 64 episodes over 5 seasons. Louie is no longer running and has no plans to air new episodes or seasons. It has a high IMDb audience rating of 8.5 (73,570 votes) and was very well received by critics."/>
    <s v="5 Seasons"/>
    <x v="80"/>
  </r>
  <r>
    <x v="344"/>
    <x v="14"/>
    <x v="1"/>
    <n v="8.5"/>
    <n v="80"/>
    <x v="19"/>
    <s v="An all-new “Fab Five” advise men on fashion, grooming, food, culture and design in this modern reboot of the Emmy Award-winning reality series.Queer Eye featuring Bobby Berk and Tan France has one or more episodes streaming with subscription on Netflix. It's a comedy and LGBTQ show with 43 episodes over 5 seasons. Queer Eye is still airing with no announced date for the next episode or season. It has a high IMDb audience rating of 8.5 (14,850 votes) and was very well received by critics."/>
    <s v="5Seasons"/>
    <x v="0"/>
  </r>
  <r>
    <x v="345"/>
    <x v="2"/>
    <x v="1"/>
    <n v="8.3000000000000007"/>
    <n v="80"/>
    <x v="94"/>
    <s v="After 19 years on Death Row for the rape and murder of his teenage girlfriend, Daniel Holden is going home. His conviction has been vacated due to new DNA evidence. Now he has to return to a world he no longer knows and his reentry into the outside world may be as unforgiving as prison. Daniel is haunted by the past, dogged by the present, and uncertain of the future. As he struggles to adapt to his new life, his homecoming reignites the fears of a small town and threatens to shatter his family’s fragile peace. Daniel’s alleged crime divided a community. Will his freedom tear it in half?Rectify featuring Aden Young and Abigail Spencer has one or more episodes streaming with subscription on Netflix, available for purchase on iTunes, available for purchase on Google Play, and 2 others. It's a drama show with 30 episodes over 4 seasons. Rectify is no longer running and has no plans to air new episodes or seasons. It has a high IMDb audience rating of 8.3 (23,821 votes) and was very well received by critics."/>
    <s v="4Seasons"/>
    <x v="0"/>
  </r>
  <r>
    <x v="346"/>
    <x v="13"/>
    <x v="0"/>
    <n v="8.5"/>
    <n v="80"/>
    <x v="11"/>
    <s v="Mugen is a ferocious, animalistic warrior with a fighting style inspired by break-dancing. Jin is a ronin samurai  who wanders the countryside  alone. They may not be friends, but their paths continually cross. And  when ditzy waitress Fuu gets them out of hot water with the local  magistrate, they agree to join her search for the &quot;samurai who smells of sunflowers.&quot;Samurai Champloo featuring Ayako Kawasumi and Kazuya Nakai has one or more episodes streaming with subscription on Hulu, streaming with subscription on Funimation, available for purchase on iTunes, and 3 others. It's an action &amp; adventure and animation show with 26 episodes over 1 season. Samurai Champloo is no longer running and has no plans to air new episodes or seasons. It has a high IMDb audience rating of 8.5 (38,979 votes) and was well received by critics."/>
    <s v="1Season"/>
    <x v="69"/>
  </r>
  <r>
    <x v="347"/>
    <x v="11"/>
    <x v="2"/>
    <n v="8"/>
    <n v="80"/>
    <x v="0"/>
    <s v="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River featuring Stellan Skarsgård and Nicola Walker has one or more episodes streaming with subscription on Prime Video, streaming with subscription on BritBox, and streaming with subscription on Sundance Now (Via Prime Video). It's a crime and drama show with 6 episodes over 1 season. River is no longer running and has no plans to air new episodes or seasons. It has a high IMDb audience rating of 8.0 (19,476 votes) and was very well received by critics."/>
    <s v="1Season"/>
    <x v="96"/>
  </r>
  <r>
    <x v="348"/>
    <x v="23"/>
    <x v="1"/>
    <n v="7.6"/>
    <n v="80"/>
    <x v="1"/>
    <s v="The series centers on the conflict between a group of rebels from the year 2077 who time-travel to Vancouver, BC, in 2012, and a police officer who accidentally accompanies them. In spite of being many years early, the rebel group decides to continue its violent campaign to stop corporations of the future from replacing governments, while the police officer endeavours to stop them without revealing to anyone that she and the rebels are from the future.Continuum featuring Rachel Nichols and Erik Knudsen has one or more episodes available for purchase on iTunes, available for purchase on Google Play, available for purchase on Microsoft Store, and 2 others. It's an action &amp; adventure and drama show with 42 episodes over 4 seasons. Continuum is no longer running and has no plans to air new episodes or seasons. It has a high IMDb audience rating of 7.6 (57,054 votes) and was well received by critics."/>
    <s v="4Seasons"/>
    <x v="80"/>
  </r>
  <r>
    <x v="349"/>
    <x v="3"/>
    <x v="2"/>
    <n v="7.7"/>
    <n v="80"/>
    <x v="27"/>
    <s v="A mysterious criminal steals a secret state-of-the-art time machine, intent on destroying America as we know it by changing the past. Our only hope is an unexpected team: a scientist, a soldier and a history professor, who must use the machine's prototype to travel back in time to critical events. While they must make every effort not to affect the past themselves, they must also stay one step ahead of this dangerous fugitive. But can this handpicked team uncover the mystery behind it all and end his destruction before it's too late?Timeless featuring Abigail Spencer and Matt Lanter has one or more episodes streaming with subscription on Hulu, available for purchase on iTunes, available for purchase on Google Play, and 2 others. It's an action &amp; adventure and drama show with 28 episodes over 2 seasons. Timeless is no longer running and has no plans to air new episodes or seasons. It has a high IMDb audience rating of 7.7 (35,191 votes) and was very well received by critics."/>
    <s v="2 Seasons"/>
    <x v="4"/>
  </r>
  <r>
    <x v="350"/>
    <x v="4"/>
    <x v="0"/>
    <n v="8.6999999999999993"/>
    <n v="79"/>
    <x v="54"/>
    <s v="It is the Taishō period in Japan. Tanjirō, a kindhearted boy who sells charcoal for a living, finds his family slaughtered by a demon. To make matters worse, his younger sister Nezuko, the sole survivor, has been transformed into a demon herself. Though devastated by this grim reality, Tanjirō resolves to become a “demon slayer” so that he can turn his sister back into a human, and kill the demon that massacred his family.Demon Slayer: Kimetsu no Yaiba featuring Natsuki Hanae and Akari Kitō has one or more episodes streaming with subscription on Hulu, streaming via tv everywhere with Adult Swim (Via Cable/Satellite Provider), free on Adult Swim, and 2 others. It's an action &amp; adventure and animation show with 26 episodes over 1 season. Demon Slayer: Kimetsu no Yaiba is no longer running and has no plans to air new episodes or seasons. It has a high IMDb audience rating of 8.7 (16,602 votes)."/>
    <s v="1 Season"/>
    <x v="63"/>
  </r>
  <r>
    <x v="351"/>
    <x v="21"/>
    <x v="0"/>
    <n v="8.1"/>
    <n v="79"/>
    <x v="23"/>
    <s v="A genre-bending, anti-historical ride through 18th century Russia following the rise of Catherine the Nothing to Catherine the Great and her explosive relationship with husband Peter, the emperor of Russia.The Great featuring Elle Fanning and Nicholas Hoult has one or more episodes streaming with subscription on Hulu. It's a biography and comedy show with 10 episodes over 1 season. The Great is still airing with no announced date for the next episode or season. It has a high IMDb audience rating of 8.1 (12,274 votes) and was well received by critics."/>
    <s v="1Season"/>
    <x v="4"/>
  </r>
  <r>
    <x v="352"/>
    <x v="21"/>
    <x v="0"/>
    <n v="7.6"/>
    <n v="79"/>
    <x v="71"/>
    <s v="Set twenty years after the events of Star Trek Nemesis, we follow the now-retired Admiral Picard into the next chapter of his life.Star Trek: Picard featuring Patrick Stewart and Alison Pill has one or more episodes streaming on CBS All Access. It's an action &amp; adventure and drama show with 10 episodes over 1 season. Star Trek: Picard is still airing with no announced date for the next episode or season. It has a high IMDb audience rating of 7.6 (38,008 votes) and was well received by critics."/>
    <s v="1 Season"/>
    <x v="97"/>
  </r>
  <r>
    <x v="353"/>
    <x v="3"/>
    <x v="1"/>
    <n v="7.4"/>
    <n v="79"/>
    <x v="27"/>
    <s v="In the near future a family must make difficult decisions as they balance staying together with trying to survive. They live in Los Angeles, which has been occupied by a force of outside intruders. While some people have chosen to collaborate with the authorities and benefit from the new order, others have rebelled — and suffer the consequences.Colony featuring Josh Holloway and Sarah Wayne Callies has one or more episodes streaming with subscription on Netflix, available for purchase on iTunes, available for purchase on Google Play, and 4 others. It's an action &amp; adventure and drama show with 36 episodes over 3 seasons. Colony is no longer running and has no plans to air new episodes or seasons. It has a better than average IMDb audience rating of 7.4 (29,213 votes) and was very well received by critics."/>
    <s v="3Seasons"/>
    <x v="0"/>
  </r>
  <r>
    <x v="354"/>
    <x v="21"/>
    <x v="0"/>
    <n v="7.7"/>
    <n v="79"/>
    <x v="95"/>
    <s v="Young computer engineer Lily Chan investigates the secretive development division of her employer, a cutting-edge tech company based in San Francisco, which she believes is behind the murder of her boyfriend.Devs featuring Sonoya Mizuno and Nick Offerman has one or more episodes streaming with subscription on Hulu, and available for purchase on VUDU. It's a drama and fantasy show with 8 episodes over 1 season. Devs is no longer running and has no plans to air new episodes or seasons. It has a high IMDb audience rating of 7.7 (21,891 votes) and was well received by critics."/>
    <s v="1Season"/>
    <x v="4"/>
  </r>
  <r>
    <x v="355"/>
    <x v="0"/>
    <x v="0"/>
    <n v="8.5"/>
    <n v="79"/>
    <x v="1"/>
    <s v="The first 40 days of the war in Iraq as seen through the eyes of an elite group of U.S. Marines who spearheaded the invasion along with an embedded Rolling Stone reporter. A vivid account of the soldiers and of the forces that guided them in an often-improvised initiative.Generation Kill featuring Alexander Skarsgård and James Ransone has one or more episodes streaming with subscription on HBO MAX, streaming on HBO, available for purchase on iTunes, and 5 others. It's an action &amp; adventure and drama show with 7 episodes over 1 season. Generation Kill is no longer running and has no plans to air new episodes or seasons. It has a high IMDb audience rating of 8.5 (46,775 votes) and was well received by critics."/>
    <s v="1Season"/>
    <x v="1"/>
  </r>
  <r>
    <x v="356"/>
    <x v="1"/>
    <x v="1"/>
    <n v="8.3000000000000007"/>
    <n v="79"/>
    <x v="1"/>
    <s v="Hell on Wheels tells the epic story of post-Civil War America, focusing on Cullen Bohannon, a Confederate soldier who sets out to exact revenge on the Union soldiers who killed his wife. His journey takes him west to Hell on Wheels, a dangerous, raucous, lawless melting pot of a town that travels with and services the construction of the first transcontinental railroad, an engineering feat unprecedented for its time.Hell on Wheels featuring Anson Mount and Colm Meaney has one or more episodes streaming with subscription on Netflix, available for purchase on iTunes, available for purchase on Google Play, and 2 others. It's an action &amp; adventure and drama show with 58 episodes over 5 seasons. Hell on Wheels is no longer running and has no plans to air new episodes or seasons. It has a high IMDb audience rating of 8.3 (46,864 votes) and was well received by critics."/>
    <s v="5Seasons"/>
    <x v="0"/>
  </r>
  <r>
    <x v="357"/>
    <x v="7"/>
    <x v="2"/>
    <n v="7.8"/>
    <n v="79"/>
    <x v="76"/>
    <s v="A comedy-drama following a chaste young woman who is accidentally impregnated via artificial insemination as she struggles to inform her devoutly religious family and make the right choices concerning the child. Based on the telenovela &quot;Juana la virgen.&quot;Jane the Virgin featuring Gina Rodriguez and Andrea Navedo has one or more episodes streaming with subscription on Netflix, free on The CW, available for purchase on iTunes, and 4 others. It's a comedy and drama show with 101 episodes over 5 seasons. Jane the Virgin is no longer running and has no plans to air new episodes or seasons. It has a high IMDb audience rating of 7.8 (36,502 votes) and was very well received by critics."/>
    <s v="5Seasons"/>
    <x v="21"/>
  </r>
  <r>
    <x v="358"/>
    <x v="7"/>
    <x v="1"/>
    <n v="8.6999999999999993"/>
    <n v="79"/>
    <x v="54"/>
    <s v="Shōyō Hinata was inspired to play volleyball after seeing Kurasuno High School's &quot;little giant&quot; competing in the national tournament on TV. He trains relentlessly to make up for his lack of height, but suffers a crushing defeat in his first and last tournament of middle school at the hands of his rival Tobio Kageyama.  Vowing revenge against Kageyama and hoping to follow in the little giant's footsteps, Hinata joins Kurasuno High School's volleyball team.  To his initial dismay, Kageyama is also on Kurasuno's team.  The former rivals soon overcome their differences though and combine their strengths to form a legendary combo using Hinata's mobility and Kageyama's precision ball-handling.  Together with their team, they compete in prefecture tournaments and promise to meet Kurasuno's fated rival school at nationals.Haikyu!! featuring Ayumu Murase and Kaito Ishikawa has one or more episodes streaming with subscription on Netflix, streaming with subscription on Hulu, free on Crunchyroll, and 4 others. It's an animation and anime show with 77 episodes over 4 seasons. Haikyu!! has a new episode airing on October 2nd, 2020 (PDT). It has a high IMDb audience rating of 8.7 (7,353 votes)."/>
    <s v="4Seasons"/>
    <x v="9"/>
  </r>
  <r>
    <x v="359"/>
    <x v="6"/>
    <x v="2"/>
    <n v="8.1999999999999993"/>
    <n v="79"/>
    <x v="23"/>
    <s v="The trials and tribulations of the very large, colorful and imperfect Braverman family.Parenthood featuring Peter Krause and Craig T. Nelson has one or more episodes streaming with subscription on Hulu, free on IMDb TV, free on Peacock, and 5 others. It's a comedy and drama show with 103 episodes over 6 seasons. Parenthood is no longer running and has no plans to air new episodes or seasons. It has a high IMDb audience rating of 8.2 (29,863 votes) and was well received by critics."/>
    <s v="6 Seasons"/>
    <x v="17"/>
  </r>
  <r>
    <x v="360"/>
    <x v="5"/>
    <x v="2"/>
    <n v="8.1999999999999993"/>
    <n v="79"/>
    <x v="55"/>
    <s v="In a reimagining of the TV classic, a newly single Latina mother raises her teen daughter and tween son with the &quot;help&quot; of her old-school mom.One Day at a Time featuring Justina Machado and Rita Moreno has one or more episodes streaming with subscription on Netflix, free on Pop, and streaming with subscription on fuboTV. It's a comedy and family show with 46 episodes over 4 seasons. One Day at a Time is still airing with no announced date for the next episode or season. It has a high IMDb audience rating of 8.2 (12,177 votes) and was very well received by critics."/>
    <s v="4Seasons"/>
    <x v="32"/>
  </r>
  <r>
    <x v="361"/>
    <x v="14"/>
    <x v="0"/>
    <n v="7.6"/>
    <n v="79"/>
    <x v="26"/>
    <s v="Based on the stories of Stephen King, the series intertwines characters and themes from the fictional town of Castle Rock.Castle Rock featuring Lizzy Caplan and Tim Robbins has one or more episodes streaming with subscription on Hulu, available for purchase on Google Play, available for purchase on Prime Video, and 2 others. It's a drama and fantasy show with 20 episodes over 2 seasons. Castle Rock is still airing with no announced date for the next episode or season. It has a high IMDb audience rating of 7.6 (36,180 votes) and was well received by critics."/>
    <s v="2 Seasons"/>
    <x v="4"/>
  </r>
  <r>
    <x v="362"/>
    <x v="14"/>
    <x v="0"/>
    <n v="8.6"/>
    <n v="79"/>
    <x v="36"/>
    <s v="When the most important friend in her life seems to have disappeared without a trace, Elena Greco, a now-elderly woman immersed in a house full of books, turns on her computer and starts writing the story of their friendship.My Brilliant Friend featuring Gaia Girace and Margherita Mazzucco has one or more episodes streaming with subscription on HBO MAX, streaming on HBO, available for purchase on Google Play, and 2 others. It's a drama show with 16 episodes over 2 seasons. My Brilliant Friend is still airing with no announced date for the next episode or season. It has a high IMDb audience rating of 8.6 (8,759 votes) and was very well received by critics."/>
    <s v="2 Seasons"/>
    <x v="1"/>
  </r>
  <r>
    <x v="363"/>
    <x v="4"/>
    <x v="0"/>
    <n v="8.4"/>
    <n v="79"/>
    <x v="4"/>
    <s v="In this gritty and sometimes bloody tale, sixteen year-old Wayne sets out on a dirt bike with his new crush Del to take back the 1978 Pontiac Trans Am that was stolen from his father before he died. It is Wayne and Del against the world.Wayne featuring Mark McKenna and Ciara Bravo has one or more episodes streaming with subscription on YouTube Premium, and free on YouTube Premium. It's an action &amp; adventure and comedy show with 10 episodes over 1 season. Wayne is no longer running and has no plans to air new episodes or seasons. It has a high IMDb audience rating of 8.4 (6,615 votes) and was very well received by critics."/>
    <s v="1Season"/>
    <x v="98"/>
  </r>
  <r>
    <x v="364"/>
    <x v="14"/>
    <x v="2"/>
    <n v="8.4"/>
    <n v="79"/>
    <x v="7"/>
    <s v="An extraordinary discovery inspires two human princes and an elven assassin to team up on an epic quest to bring peace to their warring lands.The Dragon Prince featuring Jack DeSena and Paula Burrows has one or more episodes streaming with subscription on Netflix. It's an action &amp; adventure and animation show with 27 episodes over 3 seasons. The Dragon Prince is still airing with no announced date for the next episode or season. It has a high IMDb audience rating of 8.4 (14,933 votes) and was very well received by critics."/>
    <s v="3Seasons"/>
    <x v="0"/>
  </r>
  <r>
    <x v="365"/>
    <x v="13"/>
    <x v="0"/>
    <n v="8"/>
    <n v="79"/>
    <x v="54"/>
    <s v="The Diclonius, a mutated homo sapien that is said to be selected by God and will eventually become the destruction of mankind, possesses two horns in their heads, and has a &quot;sixth sense&quot;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quot;Nyuu,&quot; and the two allow her to stay at Kouta's home. However, it appears that the evil &quot;Lucy&quot; is not dead just yet...Elfen Lied featuring Chihiro Suzuki and Sanae Kobayashi has one or more episodes streaming with subscription on Prime Video, streaming with subscription on Hulu, free on Tubi, and 1 other. It's an action &amp; adventure and animation show with 14 episodes over 1 season. Elfen Lied is no longer running and has no plans to air new episodes or seasons. It has a high IMDb audience rating of 8.0 (28,994 votes) and was very well received by critics."/>
    <s v="1 Season"/>
    <x v="60"/>
  </r>
  <r>
    <x v="366"/>
    <x v="1"/>
    <x v="0"/>
    <n v="7.9"/>
    <n v="79"/>
    <x v="0"/>
    <s v="Set in 15th century Italy at the height of the Renaissance, The Borgias chronicles the corrupt rise of patriarch Rodrigo Borgia to the papacy, where he proceeds to commit every sin in the book to amass and retain power, influence and enormous wealth for himself and his family.The Borgias featuring Jeremy Irons and Holliday Grainger has one or more episodes streaming with subscription on Netflix, streaming on Showtime, streaming with subscription on fuboTV, and 6 others. It's an action &amp; adventure and crime show with 30 episodes over 3 seasons. The Borgias is no longer running and has no plans to air new episodes or seasons. It has a high IMDb audience rating of 7.9 (47,431 votes) and was well received by critics."/>
    <s v="3Seasons"/>
    <x v="23"/>
  </r>
  <r>
    <x v="367"/>
    <x v="15"/>
    <x v="0"/>
    <n v="8"/>
    <n v="79"/>
    <x v="46"/>
    <s v="Cadaverous scream legend the Crypt Keeper is your macabre host for these forays of fright and fun based on the classic E.C. Comics tales from back in the day. So shamble up to the bar and pick your poison. Will it be an insane Santa on a personal slay ride? Honeymooners out to fulfill the &quot;til death do we part&quot; vow ASAP?Tales from the Crypt featuring John Kassir has one or more episodes available for purchase on iTunes, available for purchase on Google Play, available for purchase on Prime Video, and 2 others. It's a comedy and crime show with 93 episodes over 7 seasons. Tales from the Crypt is no longer running and has no plans to air new episodes or seasons. It has a high IMDb audience rating of 8.0 (20,970 votes) and was well received by critics."/>
    <s v="7Seasons"/>
    <x v="80"/>
  </r>
  <r>
    <x v="368"/>
    <x v="9"/>
    <x v="1"/>
    <n v="8.3000000000000007"/>
    <n v="79"/>
    <x v="23"/>
    <s v="The life of a 15 year-old high school student, whose angst-ridden journey through adolescence, friendship, parents, and life teaches her what it means to grow up.My So-Called Life featuring Claire Danes and Jared Leto has one or more episodes free on ABC, free on IMDb TV, available for purchase on iTunes, and 4 others. It's a comedy and drama show with 20 episodes over 1 season. My So-Called Life is no longer running and has no plans to air new episodes or seasons. It has a high IMDb audience rating of 8.3 (18,632 votes) and was very well received by critics."/>
    <s v="1 Season"/>
    <x v="22"/>
  </r>
  <r>
    <x v="369"/>
    <x v="6"/>
    <x v="1"/>
    <n v="8"/>
    <n v="79"/>
    <x v="55"/>
    <s v="James &quot;Jimmy&quot; Chance is a clueless 24-year-old who impregnates a serial killer during a one-night-stand. Earning custody of his daughter after the mother is sentenced to death, Jimmy relies on his oddball but well-intentioned family for support in raising the child.Raising Hope featuring Shannon Woodward and Garret Dillahunt has one or more episodes streaming with subscription on Hulu, available for purchase on iTunes, available for purchase on Google Play, and 3 others. It's a comedy and family show with 89 episodes over 4 seasons. Raising Hope is no longer running and has no plans to air new episodes or seasons. It has a high IMDb audience rating of 8.0 (34,451 votes) and was very well received by critics."/>
    <s v="4Seasons"/>
    <x v="4"/>
  </r>
  <r>
    <x v="370"/>
    <x v="8"/>
    <x v="0"/>
    <n v="8.4"/>
    <n v="79"/>
    <x v="2"/>
    <s v="When Robert “Granddad” Freeman becomes legal guardian to his two grandsons, he moves from the tough south side of Chicago to the upscale neighborhood of Woodcrest (a.k.a. &quot;The Boondocks&quot;) so he can enjoy his golden years in safety and comfort. But with Huey, a 10-year-old leftist revolutionary, and his eight-year-old misfit brother, Riley, suburbia is about to be shaken up.The Boondocks featuring Regina King and John Witherspoon has one or more episodes streaming with subscription on HBO MAX, streaming via tv everywhere with Adult Swim (Via Cable/Satellite Provider), free on Adult Swim, and 2 others. It's an action &amp; adventure and animation show with 56 episodes over 4 seasons. The Boondocks is no longer running and has no plans to air new episodes or seasons. It has a high IMDb audience rating of 8.4 (26,003 votes) and was met with mixed reviews by critics."/>
    <s v="4Seasons"/>
    <x v="99"/>
  </r>
  <r>
    <x v="371"/>
    <x v="7"/>
    <x v="0"/>
    <n v="8.5"/>
    <n v="79"/>
    <x v="22"/>
    <s v="An anthology of darkly comic twisted tales, each one taking place behind a door marked 'number 9'.Inside No. 9 featuring Reece Shearsmith and Steve Pemberton has one or more episodes streaming with subscription on HBO MAX, streaming with subscription on Hulu, streaming on BritBox, and 5 others. It's a comedy and drama show with 30 episodes over 5 seasons. Inside No. 9 is still airing with no announced date for the next episode or season. It has a high IMDb audience rating of 8.5 (11,704 votes) and was very well received by critics."/>
    <s v="5Seasons"/>
    <x v="50"/>
  </r>
  <r>
    <x v="372"/>
    <x v="4"/>
    <x v="4"/>
    <n v="8.5"/>
    <n v="79"/>
    <x v="0"/>
    <s v="As Delhi reels in the aftermath of a gang rape, DCP Vartika Chaturvedi leads a painstaking search for the culprits. Based on the 2012 Nirbhaya case.Delhi Crime featuring Shefali Shah and Rasika Dugal has one or more episodes streaming with subscription on Netflix. It's a crime and drama show with 7 episodes over 1 season. Delhi Crime is still airing with no announced date for the next episode or season. It has a high IMDb audience rating of 8.5 (10,418 votes) and was very well received by critics."/>
    <s v="1Season"/>
    <x v="0"/>
  </r>
  <r>
    <x v="373"/>
    <x v="7"/>
    <x v="1"/>
    <n v="7.5"/>
    <n v="79"/>
    <x v="27"/>
    <s v="Their mission is simple: Find a cure. Stop the virus. Save the world. When a global pandemic wipes out eighty percent of the planet's population, the crew of a lone naval destroyer must find a way to pull humanity from the brink of extinction.The Last Ship featuring Eric Dane and Adam Baldwin has one or more episodes streaming with subscription on Hulu, streaming via tv everywhere with TNT, streaming with subscription on Hoopla, and 6 others. It's an action &amp; adventure and drama show with 56 episodes over 5 seasons. The Last Ship is no longer running and has no plans to air new episodes or seasons. It has a better than average IMDb audience rating of 7.5 (53,545 votes) and was well received by critics."/>
    <s v="5Seasons"/>
    <x v="100"/>
  </r>
  <r>
    <x v="374"/>
    <x v="7"/>
    <x v="0"/>
    <n v="7.9"/>
    <n v="79"/>
    <x v="13"/>
    <s v="The Affair explores the emotional effects of an extramarital relationship between Noah Solloway and Alison Lockhart after the two meet in the resort town of Montauk in Long Island. Noah is a New York City schoolteacher with one novel published (book entitled A Person who Visits a Place) and he is struggling to write a second book. He is happily married with four children, but resents his dependence on his wealthy father-in-law. Alison is a young waitress trying to piece her life and marriage back together in the wake of the tragic death of her child. The story of the affair is told separately, complete with distinct memory biases, from the male and female perspectives.The Affair featuring Dominic West and Maura Tierney has one or more episodes streaming on Showtime, free on Showtime FREEview, streaming with subscription on fuboTV, and 7 others. It's a drama and mystery show with 53 episodes over 5 seasons. The Affair is no longer running and has no plans to air new episodes or seasons. It has a high IMDb audience rating of 7.9 (39,234 votes) and was well received by critics."/>
    <s v="5Seasons"/>
    <x v="31"/>
  </r>
  <r>
    <x v="375"/>
    <x v="16"/>
    <x v="1"/>
    <n v="8"/>
    <n v="79"/>
    <x v="27"/>
    <s v="In the criminal justice system, sexually-based offenses are considered especially heinous. In New York City, the dedicated detectives who investigate these vicious felonies are members of an elite squad known as the Special Victims Unit. These are their stories.Law &amp; Order: Special Victims Unit featuring Mariska Hargitay and Ice-T has one or more episodes streaming with subscription on Prime Video, streaming with subscription on Hulu, streaming via tv everywhere with NBC (Via Cable/Satellite Provider), and 11 others. It's an action &amp; adventure and crime show with 484 episodes over 21 seasons. Law &amp; Order: Special Victims Unit has a new episode airing on November 12th, 2020 (PST). It has a high IMDb audience rating of 8.0 (77,371 votes)."/>
    <s v="21 Seasons"/>
    <x v="60"/>
  </r>
  <r>
    <x v="376"/>
    <x v="29"/>
    <x v="2"/>
    <n v="7.8"/>
    <n v="79"/>
    <x v="1"/>
    <s v="Pulled to the far side of the galaxy, where the Federation is 75 years away at maximum warp speed, a Starfleet ship must cooperate with Maquis rebels to find a way home.Star Trek: Voyager featuring Kate Mulgrew and Robert Beltran has one or more episodes streaming with subscription on Netflix, streaming with subscription on Prime Video, streaming with subscription on Hulu, and 6 others. It's an action &amp; adventure and drama show with 175 episodes over 7 seasons. Star Trek: Voyager is no longer running and has no plans to air new episodes or seasons. It has a high IMDb audience rating of 7.8 (57,161 votes) and was well received by critics."/>
    <s v="7 Seasons"/>
    <x v="49"/>
  </r>
  <r>
    <x v="377"/>
    <x v="5"/>
    <x v="0"/>
    <n v="8.3000000000000007"/>
    <n v="79"/>
    <x v="38"/>
    <s v="Picking up one year after the events of the final broadcast episode of &quot;The Good Wife&quot;, an enormous financial scam has destroyed the reputation of a young lawyer, Maia Rindell, while simultaneously wiping out her mentor and godmother Diane Lockhart's savings. Forced out of her law firm, now called &quot;Lockhart, Deckler, Gussman, Lee, Lyman, Gilbert, Lurie, Kagan, Tannebaum &amp; Associates&quot;, they join Lucca Quinn at one of Chicago's preeminent law firms.The Good Fight featuring Christine Baranski and Cush Jumbo has one or more episodes streaming on CBS All Access, available for purchase on iTunes, available for purchase on Google Play, and 4 others. It's an action &amp; adventure and comedy show with 40 episodes over 4 seasons. The Good Fight is still airing with no announced date for the next episode or season. It has a high IMDb audience rating of 8.3 (18,983 votes) and was very well received by critics."/>
    <s v="4Seasons"/>
    <x v="97"/>
  </r>
  <r>
    <x v="378"/>
    <x v="11"/>
    <x v="1"/>
    <n v="7.8"/>
    <n v="79"/>
    <x v="51"/>
    <s v="A hilarious workplace comedy about a unique family of employees at a super-sized mega store. From the bright-eyed newbies and the seen-it-all veterans to the clueless summer hires and the in-it-for-life managers, together they hilariously tackle the day-to-day grind of rabid bargain hunters, riot-causing sales and nap-worthy training sessions.Superstore featuring America Ferrera and Ben Feldman has one or more episodes streaming with subscription on Hulu, free on NBC, streaming with subscription on fuboTV, and 6 others. It's a comedy show with 98 episodes over 5 seasons. Superstore has a new episode airing on October 22nd, 2020 (PDT). It has a high IMDb audience rating of 7.8 (20,092 votes) and was very well received by critics."/>
    <s v="5 Seasons"/>
    <x v="101"/>
  </r>
  <r>
    <x v="379"/>
    <x v="4"/>
    <x v="2"/>
    <n v="8.5"/>
    <n v="79"/>
    <x v="27"/>
    <s v="Return to the world of Thra, where three Gelfling discover the horrifying secret behind the Skeksis' power and set out to ignite the fires of rebellion and save their world.The Dark Crystal: Age of Resistance featuring Anya Taylor-Joy and Nathalie Emmanuel has one or more episodes streaming with subscription on Netflix. It's an action &amp; adventure and drama show with 10 episodes over 1 season. The Dark Crystal: Age of Resistance is still airing with no announced date for the next episode or season. It has a high IMDb audience rating of 8.5 (19,862 votes) and was well received by critics."/>
    <s v="1Season"/>
    <x v="0"/>
  </r>
  <r>
    <x v="380"/>
    <x v="3"/>
    <x v="0"/>
    <n v="7.7"/>
    <n v="79"/>
    <x v="8"/>
    <s v="Rebellious Mickey and good-natured Gus navigate the thrills and agonies of modern relationships.Love featuring Gillian Jacobs and Paul Rust has one or more episodes streaming with subscription on Netflix. It's a comedy and drama show with 34 episodes over 3 seasons. Love is no longer running and has no plans to air new episodes or seasons. It has a high IMDb audience rating of 7.7 (35,746 votes) and was very well received by critics."/>
    <s v="3Seasons"/>
    <x v="0"/>
  </r>
  <r>
    <x v="381"/>
    <x v="14"/>
    <x v="1"/>
    <n v="8.4"/>
    <n v="79"/>
    <x v="96"/>
    <s v="Amidst the political conflict of Northern Ireland in the 1990s, five high school students square off with the universal challenges of being a teenager.Derry Girls featuring Saoirse-Monica Jackson and Louisa Harland has one or more episodes streaming with subscription on Netflix. It's a comedy show with 12 episodes over 2 seasons. Derry Girls is still airing with no announced date for the next episode or season. It has a high IMDb audience rating of 8.4 (17,559 votes) and was very well received by critics."/>
    <s v="2Seasons"/>
    <x v="0"/>
  </r>
  <r>
    <x v="382"/>
    <x v="21"/>
    <x v="1"/>
    <n v="7.4"/>
    <n v="79"/>
    <x v="3"/>
    <s v="Three siblings who move into their ancestral estate after their father's gruesome murder discover their new home's magical keys, which must be used in their stand against an evil creature who wants the keys and their powers.Locke &amp; Key featuring Darby Stanchfield and Emilia Jones has one or more episodes streaming with subscription on Netflix. It's a drama and fantasy show with 10 episodes over 1 season. Locke &amp; Key is still airing with no announced date for the next episode or season. It has a better than average IMDb audience rating of 7.4 (35,969 votes) and was well received by critics."/>
    <s v="1 Season"/>
    <x v="0"/>
  </r>
  <r>
    <x v="383"/>
    <x v="2"/>
    <x v="1"/>
    <n v="7.5"/>
    <n v="79"/>
    <x v="3"/>
    <s v="Mary, Queen of Scots, faces political and sexual intrigue in the treacherous world of the French court.Reign featuring Adelaide Kane and Megan Follows has one or more episodes streaming with subscription on Netflix, available for purchase on iTunes, available for purchase on Google Play, and 3 others. It's a drama and fantasy show with 78 episodes over 4 seasons. Reign is no longer running and has no plans to air new episodes or seasons. It has a better than average IMDb audience rating of 7.5 (42,338 votes) and was well received by critics."/>
    <s v="4 Seasons"/>
    <x v="0"/>
  </r>
  <r>
    <x v="384"/>
    <x v="11"/>
    <x v="1"/>
    <n v="8.3000000000000007"/>
    <n v="79"/>
    <x v="5"/>
    <s v="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Poldark featuring Aidan Turner and Eleanor Tomlinson has one or more episodes streaming with subscription on Prime Video, available for purchase on iTunes, available for purchase on Google Play, and 3 others. It's a drama and history show with 43 episodes over 5 seasons. Poldark is no longer running and has no plans to air new episodes or seasons. It has a high IMDb audience rating of 8.3 (24,609 votes) and was well received by critics."/>
    <s v="5Seasons"/>
    <x v="3"/>
  </r>
  <r>
    <x v="385"/>
    <x v="3"/>
    <x v="1"/>
    <n v="7.2"/>
    <n v="79"/>
    <x v="39"/>
    <s v="A young Healer armed with an unpredictable magic guides a runaway Elf in her perilous quest to save the peoples of the Four Lands from an age-old Demon scourge.The Shannara Chronicles featuring Austin Butler and Ivana Baquero has one or more episodes streaming with subscription on Netflix, free on Tubi, available for purchase on iTunes, and 4 others. It's an action &amp; adventure and drama show with 21 episodes over 2 seasons. The Shannara Chronicles is no longer running and has no plans to air new episodes or seasons. It has a better than average IMDb audience rating of 7.2 (53,185 votes) and was well received by critics."/>
    <s v="2Seasons"/>
    <x v="21"/>
  </r>
  <r>
    <x v="386"/>
    <x v="4"/>
    <x v="0"/>
    <n v="7.6"/>
    <n v="79"/>
    <x v="12"/>
    <s v="A virus has decimated humankind. Those who survived emerged blind. Centuries later when twins are born with the mythic ability to see, their father must protect his tribe against a threatened queen.See featuring Jason Momoa and Sylvia Hoeks has one or more episodes streaming with subscription on Apple TV+. It's an action &amp; adventure and drama show with 8 episodes over 1 season. See is still airing with no announced date for the next episode or season. It has a high IMDb audience rating of 7.6 (36,775 votes) and was not well received by critics."/>
    <s v="1Season"/>
    <x v="52"/>
  </r>
  <r>
    <x v="387"/>
    <x v="8"/>
    <x v="1"/>
    <n v="8.5"/>
    <n v="79"/>
    <x v="54"/>
    <s v="They are neither plants nor animals. They differ from other forms of life such as the micro-organisms and the fungi. Instead they resemble the primeval body of life and are generally known as &quot;Mushi&quot;. Their existence and appearance are unknown to many and only a limited number of humans are aware of them. Ginko is a &quot;Mushi-shi&quot; who travels around to investigate and find out more about the &quot;Mushi&quot;. In the process, he also lends a helping hand to people who face problems with supernatural occurances which may be related to the &quot;Mushi&quot;.Mushi-Shi featuring Yuto Nakano and Yuji Ueda has one or more episodes streaming with subscription on Prime Video, streaming with subscription on Hulu, free on Tubi, and 3 others. It's an action &amp; adventure and animation show with 57 episodes over 3 seasons. Mushi-Shi is no longer running and has no plans to air new episodes or seasons. It has a high IMDb audience rating of 8.5 (11,472 votes) and was very well received by critics."/>
    <s v="3Seasons"/>
    <x v="60"/>
  </r>
  <r>
    <x v="388"/>
    <x v="11"/>
    <x v="1"/>
    <n v="7.7"/>
    <n v="79"/>
    <x v="12"/>
    <s v="Limitless, based on the feature film, picks up where the movie left off and follows Brian Sinclair as he discovers the power of the mysterious drug NZT, and is coerced into using his newfound drug-enhanced abilities to solve weekly cases for the FBI.Limitless featuring Jake McDorman and Jennifer Carpenter has one or more episodes streaming with subscription on Netflix, streaming on CBS All Access, free on CW Seed, and 5 others. It's an action &amp; adventure and comedy show with 22 episodes over 1 season. Limitless is no longer running and has no plans to air new episodes or seasons. It has a high IMDb audience rating of 7.7 (60,843 votes) and was met with mixed reviews by critics."/>
    <s v="1Season"/>
    <x v="36"/>
  </r>
  <r>
    <x v="389"/>
    <x v="5"/>
    <x v="0"/>
    <n v="8.1999999999999993"/>
    <n v="79"/>
    <x v="97"/>
    <s v="Corrupt ex-cop turned hitman Nick Sax's life is changed forever by a relentlessly positive, imaginary blue winged horse named Happy.HAPPY! featuring Christopher Meloni and Patton Oswalt has one or more episodes streaming with subscription on Netflix, available for purchase on iTunes, available for purchase on Google Play, and 3 others. It's an action &amp; adventure and comedy show with 18 episodes over 2 seasons. HAPPY! is no longer running and has no plans to air new episodes or seasons. It has a high IMDb audience rating of 8.2 (31,818 votes) and was well received by critics."/>
    <s v="2Seasons"/>
    <x v="0"/>
  </r>
  <r>
    <x v="390"/>
    <x v="8"/>
    <x v="1"/>
    <n v="7.7"/>
    <n v="79"/>
    <x v="9"/>
    <s v="When petty criminal Earl Hickey wins the lottery, he sets off on a quest to repair his questionable karma.My Name Is Earl featuring Jason Lee and Ethan Suplee has one or more episodes streaming with subscription on Hulu, available for purchase on iTunes, available for purchase on Google Play, and 3 others. It's a comedy show with 101 episodes over 4 seasons. My Name Is Earl is no longer running and has no plans to air new episodes or seasons. It has a high IMDb audience rating of 7.7 (94,157 votes) and was well received by critics."/>
    <s v="4Seasons"/>
    <x v="4"/>
  </r>
  <r>
    <x v="391"/>
    <x v="7"/>
    <x v="2"/>
    <n v="8"/>
    <n v="79"/>
    <x v="17"/>
    <s v="Set between the events of Star Wars: Episodes III and IV, the story unfolds during a dark time when the evil Galactic Empire is tightening its grip of power on the galaxy. Imperial forces have occupied a remote planet and are ruining the lives of its people. The motley but clever crew of the starship Ghost — cowboy Jedi Kanan, ace pilot Hera, street-smart teenager Ezra, the “muscle” Zeb, warrior firebrand Sabine, and cantankerous old astromech droid Chopper — is among a select few who are brave enough to stand against the Empire. Together, they will face threatening new villains, encounter colorful adversaries, embark on thrilling adventures, and become heroes with the power to ignite a rebellion.Star Wars Rebels featuring Freddie Prinze Jr. and Taylor Gray has one or more episodes streaming with subscription on Disney+, available for purchase on iTunes, available for purchase on Google Play, and 2 others. It's an action &amp; adventure and animation show with 72 episodes over 4 seasons. Star Wars Rebels is no longer running and has no plans to air new episodes or seasons. It has a high IMDb audience rating of 8.0 (27,092 votes) and was very well received by critics."/>
    <s v="4Seasons"/>
    <x v="14"/>
  </r>
  <r>
    <x v="392"/>
    <x v="27"/>
    <x v="2"/>
    <n v="8.4"/>
    <n v="79"/>
    <x v="64"/>
    <s v="The X-Men are an elite team of mutants, genetically gifted human beings with superpowers, sworn to fight for mutant rights against hostile Government agencies, whilst at the same time protecting mankind from mutant supremacist Magneto who seeks to destroy the human race in return for the atrocities committed against mutant kind.X-Men featuring Cathal J. Dodd and Catherine Disher has one or more episodes streaming with subscription on Disney+, available for purchase on iTunes, available for purchase on Google Play, and 4 others. It's an action &amp; adventure and animation show with 88 episodes over 5 seasons. X-Men is no longer running and has no plans to air new episodes or seasons. It has a high IMDb audience rating of 8.4 (36,914 votes) and was well received by critics."/>
    <s v="5Seasons"/>
    <x v="14"/>
  </r>
  <r>
    <x v="393"/>
    <x v="21"/>
    <x v="2"/>
    <n v="8.3000000000000007"/>
    <n v="79"/>
    <x v="74"/>
    <s v="Merlin’s apprentice joins Arcadia’s heroes on a time-bending adventure in Camelot, where conflict is brewing between the human, troll and magical worlds.Wizards: Tales of Arcadia featuring Lena Headey and Alfred Molina has one or more episodes streaming with subscription on Netflix. It's an action &amp; adventure and animation show with 10 episodes over 1 season. Wizards: Tales of Arcadia is no longer running and has no plans to air new episodes or seasons. It has a high IMDb audience rating of 8.3 (1,252 votes) and was very well received by critics."/>
    <s v="1Season"/>
    <x v="0"/>
  </r>
  <r>
    <x v="394"/>
    <x v="5"/>
    <x v="0"/>
    <n v="7.3"/>
    <n v="79"/>
    <x v="6"/>
    <s v="Daredevil, Jessica Jones, Luke Cage and Iron Fist join forces to take on common enemies as a sinister conspiracy threatens New York City.Marvel's The Defenders featuring Charlie Cox and Krysten Ritter has one or more episodes streaming with subscription on Netflix, available for purchase on iTunes, available for purchase on Google Play, and 3 others. It's an action &amp; adventure and crime show with 8 episodes over 1 season. Marvel's The Defenders is no longer running and has no plans to air new episodes or seasons. It has a better than average IMDb audience rating of 7.3 (87,353 votes) and was well received by critics."/>
    <s v="1Season"/>
    <x v="0"/>
  </r>
  <r>
    <x v="395"/>
    <x v="7"/>
    <x v="0"/>
    <n v="8.1"/>
    <n v="79"/>
    <x v="22"/>
    <s v="Narcissistic, brash, and self-destructive “Jimmy Shive-Overly,” thinks all relationships are doomed. Cynical, people-pleasing, and stubborn “Gretchen Cutler,” knows that relationships aren't for her. So when they meet at a wedding, it's only natural that the two of them go home together and, despite their better judgment, begin to find themselves falling for each other.You're the Worst featuring Chris Geere and Aya Cash has one or more episodes streaming with subscription on Hulu, available for purchase on iTunes, available for purchase on Google Play, and 3 others. It's a comedy and drama show with 62 episodes over 5 seasons. You're the Worst is no longer running and has no plans to air new episodes or seasons. It has a high IMDb audience rating of 8.1 (22,704 votes) and was very well received by critics."/>
    <s v="5Seasons"/>
    <x v="4"/>
  </r>
  <r>
    <x v="396"/>
    <x v="3"/>
    <x v="1"/>
    <n v="8.1"/>
    <n v="79"/>
    <x v="18"/>
    <s v="Follow the lives of two very different priests tackling one family’s case of terrifying demonic possession.The Exorcist featuring Alfonso Herrera and Ben Daniels has one or more episodes streaming with subscription on Hulu, streaming via tv everywhere with FOX (Via Cable/Satellite Provider), available for purchase on iTunes, and 6 others. It's a drama and horror show with 20 episodes over 2 seasons. The Exorcist is no longer running and has no plans to air new episodes or seasons. It has a high IMDb audience rating of 8.1 (24,466 votes) and was very well received by critics."/>
    <s v="2Seasons"/>
    <x v="102"/>
  </r>
  <r>
    <x v="397"/>
    <x v="14"/>
    <x v="1"/>
    <n v="8.1"/>
    <n v="79"/>
    <x v="10"/>
    <s v="Starting over isn’t easy, especially for small-town guy John Nolan who, after a life-altering incident, is pursuing his dream of being an LAPD officer. As the force’s oldest rookie, he’s met with skepticism from some higher-ups who see him as just a walking midlife crisis.The Rookie featuring Nathan Fillion and Melissa O'Neil has one or more episodes streaming with subscription on Hulu, free on ABC, available for purchase on iTunes, and 4 others. It's an action &amp; adventure and comedy show with 40 episodes over 2 seasons. The Rookie is still airing with no announced date for the next episode or season. It has a high IMDb audience rating of 8.1 (17,483 votes) and was well received by critics."/>
    <s v="2 Seasons"/>
    <x v="17"/>
  </r>
  <r>
    <x v="398"/>
    <x v="0"/>
    <x v="1"/>
    <n v="8.1"/>
    <n v="79"/>
    <x v="0"/>
    <s v="Patrick Jane, a former celebrity psychic medium, uses his razor sharp skills of observation and expertise at &quot;reading&quot; people to solve serious crimes with the California Bureau of Investigation.The Mentalist featuring Simon Baker and Robin Tunney has one or more episodes streaming with subscription on Prime Video, available for purchase on iTunes, available for purchase on Google Play, and 3 others. It's a crime and drama show with 152 episodes over 7 seasons. The Mentalist is no longer running and has no plans to air new episodes or seasons. It has a high IMDb audience rating of 8.1 (161,674 votes)."/>
    <s v="7 Seasons"/>
    <x v="3"/>
  </r>
  <r>
    <x v="399"/>
    <x v="5"/>
    <x v="1"/>
    <n v="7.3"/>
    <n v="79"/>
    <x v="71"/>
    <s v="Follow the voyages of Starfleet on their missions to discover new worlds and new life forms, and one Starfleet officer who must learn that to truly understand all things alien, you must first understand yourself.Star Trek: Discovery featuring Sonequa Martin-Green and Doug Jones has one or more episodes streaming on CBS All Access, available for purchase on iTunes, available for purchase on Google Play, and 3 others. It's an action &amp; adventure and drama show with 29 episodes over 2 seasons. Star Trek: Discovery has a new episode airing on October 15th, 2020 (PDT). It has a better than average IMDb audience rating of 7.3 (82,372 votes) and was well received by critics."/>
    <s v="2 Seasons"/>
    <x v="97"/>
  </r>
  <r>
    <x v="400"/>
    <x v="1"/>
    <x v="0"/>
    <n v="8.4"/>
    <n v="79"/>
    <x v="38"/>
    <s v="A thrilling and raw crime drama following a gang of drug dealers in Hackney, London - an honest and gripping rendition of inner-city drug and gang culture.Top Boy featuring Ashley Walters and Sharon Duncan-Brewster has one or more episodes streaming with subscription on Netflix, and streaming with subscription on Acorn TV. It's a crime and drama show with 24 episodes over 3 seasons. Top Boy is no longer running and has no plans to air new episodes or seasons. It has a high IMDb audience rating of 8.4 (11,832 votes) and was very well received by critics."/>
    <s v="3 Seasons"/>
    <x v="103"/>
  </r>
  <r>
    <x v="401"/>
    <x v="34"/>
    <x v="2"/>
    <n v="8.3000000000000007"/>
    <n v="79"/>
    <x v="11"/>
    <s v="Trigun takes place in the distant future on a deserted planet. Vash the Stampede is a gunfighter with a legend so ruthless he has a $60,000,000,000 bounty on his head. Entire towns evacuate at the rumor of his arrival. But the real Vash the Stampede, the enigmatic and conflicted lead character in Trigun, is more heroic, even though he usually acts like a complete idiot.TRIGUN featuring Masaya Onosaka and Hiromi Tsuru has one or more episodes streaming with subscription on Hulu, free on Tubi, streaming with subscription on Funimation, and 3 others. It's an action &amp; adventure and animation show with 26 episodes over 1 season. TRIGUN is no longer running and has no plans to air new episodes or seasons. It has a high IMDb audience rating of 8.3 (18,799 votes) and was very well received by critics."/>
    <s v="1Season"/>
    <x v="75"/>
  </r>
  <r>
    <x v="402"/>
    <x v="7"/>
    <x v="0"/>
    <n v="8"/>
    <n v="79"/>
    <x v="1"/>
    <s v="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Marco Polo featuring Lorenzo Richelmy and Benedict Wong has one or more episodes streaming with subscription on Netflix, free on Tubi, available for purchase on iTunes, and 4 others. It's an action &amp; adventure and drama show with 20 episodes over 2 seasons. Marco Polo is no longer running and has no plans to air new episodes or seasons. It has a high IMDb audience rating of 8.0 (62,198 votes) and was well received by critics."/>
    <s v="2 Seasons"/>
    <x v="21"/>
  </r>
  <r>
    <x v="403"/>
    <x v="23"/>
    <x v="1"/>
    <n v="8.4"/>
    <n v="78"/>
    <x v="5"/>
    <s v="Drama following the lives of a group of midwives working in the poverty-stricken East End of London during the 1950s, based on the best-selling memoirs of Jennifer Worth.Call the Midwife featuring Helen George and Jenny Agutter has one or more episodes streaming with subscription on Netflix, free on PBS, streaming with subscription on Hoopla, and 6 others. It's a drama and family show with 89 episodes over 9 seasons. Call the Midwife is still airing with no announced date for the next episode or season. It has a high IMDb audience rating of 8.4 (19,306 votes) and was very well received by critics."/>
    <s v="9Seasons"/>
    <x v="104"/>
  </r>
  <r>
    <x v="404"/>
    <x v="8"/>
    <x v="2"/>
    <n v="7.4"/>
    <n v="78"/>
    <x v="9"/>
    <s v="Chris is a teenager growing up as the eldest of three children in Brooklyn, New York during the early 1980s. Uprooted to a new neighborhood and bused to a predominantly white middle school two-hours away by his strict, hard-working parents, Chris struggles to find his place while keeping his siblings in line at home and surmounting the challenges of junior high.Everybody Hates Chris featuring Tyler James Williams and Terry Crews has one or more episodes streaming with subscription on Hulu, streaming on CBS All Access, free on CBS, and 7 others. It's a comedy show with 88 episodes over 4 seasons. Everybody Hates Chris is no longer running and has no plans to air new episodes or seasons. It has a better than average IMDb audience rating of 7.4 (33,496 votes) and was very well received by critics."/>
    <s v="4 Seasons"/>
    <x v="68"/>
  </r>
  <r>
    <x v="405"/>
    <x v="3"/>
    <x v="2"/>
    <n v="7.5"/>
    <n v="78"/>
    <x v="27"/>
    <s v="Tom Kirkman, a low-level cabinet member is suddenly appointed President of the United States after a catastrophic attack during the State of the Union kills everyone above him in the Presidential line of succession.Designated Survivor featuring Kiefer Sutherland and Maggie Q has one or more episodes streaming with subscription on Netflix, available for purchase on iTunes, available for purchase on Google Play, and 3 others. It's an action &amp; adventure and drama show with 54 episodes over 3 seasons. Designated Survivor is no longer running and has no plans to air new episodes or seasons. It has a better than average IMDb audience rating of 7.5 (72,105 votes) and was well received by critics."/>
    <s v="3 Seasons"/>
    <x v="0"/>
  </r>
  <r>
    <x v="406"/>
    <x v="11"/>
    <x v="2"/>
    <n v="7.8"/>
    <n v="78"/>
    <x v="55"/>
    <s v="A '90s-set single-camera comedy about a hip-hop-loving Asian kid growing up in suburban Orlando, being raised by an immigrant father obsessed with all things American and an immigrant mother often bewildered by white culture.Fresh Off the Boat featuring Constance Wu and Randall Park has one or more episodes streaming with subscription on Hulu, free on ABC, available for purchase on iTunes, and 4 others. It's a comedy and family show with 117 episodes over 6 seasons. Fresh Off the Boat is no longer running and has no plans to air new episodes or seasons. It has a high IMDb audience rating of 7.8 (21,642 votes) and was very well received by critics."/>
    <s v="6 Seasons"/>
    <x v="17"/>
  </r>
  <r>
    <x v="407"/>
    <x v="11"/>
    <x v="0"/>
    <n v="8"/>
    <n v="78"/>
    <x v="2"/>
    <s v="Follow the Murphy family back to the 1970s, when kids roamed wild, beer flowed freely and nothing came between a man and his TV.F is for Family featuring Bill Burr and Laura Dern has one or more episodes streaming with subscription on Netflix. It's an animation and comedy show with 36 episodes over 4 seasons. F is for Family is still airing with no announced date for the next episode or season. It has a high IMDb audience rating of 8.0 (27,697 votes) and was well received by critics."/>
    <s v="4Seasons"/>
    <x v="0"/>
  </r>
  <r>
    <x v="408"/>
    <x v="4"/>
    <x v="0"/>
    <n v="6.8"/>
    <n v="78"/>
    <x v="13"/>
    <s v="Out to avenge his mother's death, a college student pledges a secret order and lands in a war between werewolves and practitioners of dark magic.The Order featuring Jake Manley and Sarah Grey has one or more episodes streaming with subscription on Netflix. It's a drama and fantasy show with 20 episodes over 2 seasons. The Order is still airing with no announced date for the next episode or season. It has a better than average IMDb audience rating of 6.8 (18,119 votes) and was very well received by critics."/>
    <s v="2Seasons"/>
    <x v="0"/>
  </r>
  <r>
    <x v="409"/>
    <x v="4"/>
    <x v="0"/>
    <n v="7.9"/>
    <n v="78"/>
    <x v="16"/>
    <s v="In the 1960s, Israeli clerk-turned-secret agent Eli Cohen goes deep undercover inside Syria on a perilous, years-long mission to spy for Mossad.The Spy featuring Sacha Baron Cohen and Noah Emmerich has one or more episodes streaming with subscription on Netflix. It's a drama and history show with 6 episodes over 1 season. The Spy is no longer running and has no plans to air new episodes or seasons. It has a high IMDb audience rating of 7.9 (26,593 votes) and was well received by critics."/>
    <s v="1 Season"/>
    <x v="0"/>
  </r>
  <r>
    <x v="410"/>
    <x v="3"/>
    <x v="1"/>
    <n v="8.1999999999999993"/>
    <n v="78"/>
    <x v="38"/>
    <s v="Once a powerful lawyer, Billy McBride is now burned out and washed up, spending more time in a bar than a courtroom. When he reluctantly agrees to pursue a wrongful death lawsuit against the biggest client of Cooperman &amp; McBride, the massive law firm he helped create, Billy and his ragtag team uncover a vast and deadly conspiracy, pitting them all in a life or death trial against the ultimate Goliath.Goliath featuring Billy Bob Thornton and Nina Arianda has one or more episodes streaming with subscription on Prime Video. It's a crime and drama show with 24 episodes over 3 seasons. Goliath is still airing with no announced date for the next episode or season. It has a high IMDb audience rating of 8.2 (31,666 votes) and was well received by critics."/>
    <s v="3 Seasons"/>
    <x v="3"/>
  </r>
  <r>
    <x v="411"/>
    <x v="19"/>
    <x v="1"/>
    <n v="7.7"/>
    <n v="78"/>
    <x v="1"/>
    <s v="Echo is a member of a highly illegal and underground group of individuals whose personalities have been wiped clean so they can be imprinted with any number of new personas. Confined between missions to a secret facility known as the Dollhouse, the &quot;Actives&quot; are hired by the wealthy, powerful and connected to wholly become—with mind, personality and physiology—whomever the client wants or needs them to be. They know no other life than the specific engagements they are in at that time—or do they?Dollhouse featuring Eliza Dushku and Fran Kranz has one or more episodes streaming with subscription on Hulu, available for purchase on iTunes, available for purchase on Google Play, and 3 others. It's an action &amp; adventure and drama show with 26 episodes over 2 seasons. Dollhouse is no longer running and has no plans to air new episodes or seasons. It has a high IMDb audience rating of 7.7 (45,837 votes) and was well received by critics."/>
    <s v="2Seasons"/>
    <x v="4"/>
  </r>
  <r>
    <x v="412"/>
    <x v="21"/>
    <x v="1"/>
    <n v="7.3"/>
    <n v="78"/>
    <x v="0"/>
    <s v="A web of secrets sends family man Adam Price on a desperate quest to uncover the truth about the people closest to him.The Stranger featuring Richard Armitage and Siobhan Finneran has one or more episodes streaming with subscription on Netflix. It's a crime and drama show with 8 episodes over 1 season. The Stranger is no longer running and has no plans to air new episodes or seasons. It has a better than average IMDb audience rating of 7.3 (30,007 votes) and was very well received by critics."/>
    <s v="1Season"/>
    <x v="0"/>
  </r>
  <r>
    <x v="413"/>
    <x v="5"/>
    <x v="0"/>
    <n v="8.1"/>
    <n v="78"/>
    <x v="85"/>
    <s v="The story of the legalization and subsequent rise of the porn industry in New York’s Times Square from the early ’70s through the mid ’80s, exploring the rough-and-tumble world that existed there until the rise of HIV, the violence of the cocaine epidemic and the renewed real estate market ended the bawdy turbulence of the area.The Deuce featuring James Franco and Maggie Gyllenhaal has one or more episodes streaming with subscription on HBO MAX, streaming on HBO, available for purchase on iTunes, and 4 others. It's a drama show with 25 episodes over 3 seasons. The Deuce is no longer running and has no plans to air new episodes or seasons. It has a high IMDb audience rating of 8.1 (23,732 votes) and was very well received by critics."/>
    <s v="3Seasons"/>
    <x v="1"/>
  </r>
  <r>
    <x v="414"/>
    <x v="7"/>
    <x v="0"/>
    <n v="7.3"/>
    <n v="78"/>
    <x v="3"/>
    <s v="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The Strain featuring Corey Stoll and Kevin Durand has one or more episodes streaming with subscription on Hulu, available for purchase on iTunes, available for purchase on Google Play, and 3 others. It's a comedy and drama show with 46 episodes over 4 seasons. The Strain is no longer running and has no plans to air new episodes or seasons. It has a better than average IMDb audience rating of 7.3 (74,354 votes) and was well received by critics."/>
    <s v="4Seasons"/>
    <x v="4"/>
  </r>
  <r>
    <x v="415"/>
    <x v="11"/>
    <x v="0"/>
    <n v="8"/>
    <n v="78"/>
    <x v="16"/>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Bloodline featuring Kyle Chandler and Linda Cardellini has one or more episodes streaming with subscription on Netflix, available for purchase on iTunes, available for purchase on Google Play, and 3 others. It's a crime and drama show with 33 episodes over 3 seasons. Bloodline is no longer running and has no plans to air new episodes or seasons. It has a high IMDb audience rating of 8.0 (42,573 votes) and was met with mixed reviews by critics."/>
    <s v="3Seasons"/>
    <x v="0"/>
  </r>
  <r>
    <x v="416"/>
    <x v="1"/>
    <x v="1"/>
    <n v="7.7"/>
    <n v="78"/>
    <x v="76"/>
    <s v="The story of two teenage girls who discover they were accidentally switched as newborns in the hospital. Bay Kennish grew up in a wealthy family with two parents and a brother, while Daphne Vasquez, who lost her hearing at an early age due to a case of meningitis, grew up with a single mother in a working-class neighborhood. Things come to a dramatic head when both families meet and struggle to learn how to live together for the sake of the girls.Switched at Birth featuring Vanessa Marano and Katie Leclerc has one or more episodes free on Freeform, available for purchase on iTunes, available for purchase on Google Play, and 2 others. It's a drama and family show with 103 episodes over 5 seasons. Switched at Birth is no longer running and has no plans to air new episodes or seasons. It has a high IMDb audience rating of 7.7 (22,253 votes) and was very well received by critics."/>
    <s v="5Seasons"/>
    <x v="22"/>
  </r>
  <r>
    <x v="417"/>
    <x v="14"/>
    <x v="0"/>
    <n v="8"/>
    <n v="78"/>
    <x v="18"/>
    <s v="A chilling anthology series featuring stories of people in terrifying situations inspired by true historical events.The Terror featuring George Takei and Kiki Sukezane has one or more episodes streaming with subscription on Hulu, available for purchase on iTunes, available for purchase on Google Play, and 4 others. It's an action &amp; adventure and drama show with 20 episodes over 2 seasons. The Terror is still airing with no announced date for the next episode or season. It has a high IMDb audience rating of 8.0 (35,106 votes) and was well received by critics."/>
    <s v="2 Seasons"/>
    <x v="4"/>
  </r>
  <r>
    <x v="418"/>
    <x v="22"/>
    <x v="2"/>
    <n v="7.9"/>
    <n v="78"/>
    <x v="55"/>
    <s v="Will, a street-smart teenager, moves from the tough streets of West Philly to posh Bel-Air to live with his Uncle Philip, Aunt Vivian, his cousins — spoiled Hilary, preppy Carlton and young Ashley — and their sophisticated British butler, Geoffrey. Though Will’s antics and upbringing contrast greatly with the upper-class lifestyle of his extended relatives, he soon finds himself right at home as a loved part of the family.The Fresh Prince of Bel-Air featuring Will Smith and James Avery has one or more episodes streaming with subscription on HBO MAX, available for purchase on iTunes, available for purchase on Google Play, and 4 others. It's a comedy and family show with 149 episodes over 6 seasons. The Fresh Prince of Bel-Air is no longer running and has no plans to air new episodes or seasons. It has a high IMDb audience rating of 7.9 (117,214 votes)."/>
    <s v="6Seasons"/>
    <x v="57"/>
  </r>
  <r>
    <x v="419"/>
    <x v="1"/>
    <x v="1"/>
    <n v="7.5"/>
    <n v="78"/>
    <x v="22"/>
    <s v="An irreverent look at the conflict, chaos and humor that defines teenage life through the eyes of 15-year-old Jenna Hamilton whose life begins to change when a simple accident becomes an epic misunderstanding and is blown way out of proportion. Narration in the first-person voice of Jenna's blog posts captures the humor within the struggles and experiences everyone can relate to from their formative years.Awkward. featuring Ashley Rickards and Beau Mirchoff has one or more episodes streaming with subscription on Prime Video, streaming with subscription on Hulu, streaming via tv everywhere with MTV (Via Cable/Satellite Provider), and 5 others. It's a comedy and drama show with 91 episodes over 5 seasons. Awkward. is no longer running and has no plans to air new episodes or seasons. It has a better than average IMDb audience rating of 7.5 (42,164 votes) and was well received by critics."/>
    <s v="5Seasons"/>
    <x v="105"/>
  </r>
  <r>
    <x v="420"/>
    <x v="21"/>
    <x v="0"/>
    <n v="8.1"/>
    <n v="78"/>
    <x v="23"/>
    <s v="Set in London, where gratification is only an app away, the story centers on Arabella, a carefree, self-assured Londoner with a group of great friends, a boyfriend in Italy, and a burgeoning writing career. But when her drink is spiked, she must question and rebuild every element of her life.I May Destroy You featuring Michaela Coel and Weruche Opia has one or more episodes streaming with subscription on HBO MAX, and streaming on HBO. It's a comedy and drama show with 12 episodes over 1 season. I May Destroy You is no longer running and has no plans to air new episodes or seasons. It has a high IMDb audience rating of 8.1 (5,253 votes) and was very well received by critics."/>
    <s v="1Season"/>
    <x v="1"/>
  </r>
  <r>
    <x v="421"/>
    <x v="7"/>
    <x v="1"/>
    <n v="8.1999999999999993"/>
    <n v="78"/>
    <x v="0"/>
    <s v="A gripping anthological relationship thriller series exploring the emotional fallout of a child's abduction not only on the family but on the wider community, told over two time frames.The Missing featuring David Morrissey and James Nesbitt has one or more episodes streaming with subscription on Prime Video, streaming on Starz, available for purchase on iTunes, and 4 others. It's a crime and drama show with 16 episodes over 2 seasons. The Missing is no longer running and has no plans to air new episodes or seasons. It has a high IMDb audience rating of 8.2 (20,640 votes) and was very well received by critics."/>
    <s v="2Seasons"/>
    <x v="106"/>
  </r>
  <r>
    <x v="422"/>
    <x v="7"/>
    <x v="1"/>
    <n v="7.5"/>
    <n v="78"/>
    <x v="39"/>
    <s v="A man struggling with his faith is haunted by the sins of his past but is suddenly thrust into the role of defending humanity from the gathering forces of darkness.Constantine featuring Matt Ryan and Angélica Celaya has one or more episodes free on CW Seed, streaming with subscription on DC Universe, available for purchase on iTunes, and 6 others. It's an action &amp; adventure and drama show with 14 episodes over 1 season. Constantine is no longer running and has no plans to air new episodes or seasons. It has a better than average IMDb audience rating of 7.5 (48,021 votes) and was well received by critics."/>
    <s v="1Season"/>
    <x v="107"/>
  </r>
  <r>
    <x v="423"/>
    <x v="17"/>
    <x v="2"/>
    <n v="7.5"/>
    <n v="78"/>
    <x v="13"/>
    <s v="A suburban family that takes in a mysterious teen naive to the world around him. As Kyle begins to show signs of brilliance, solving the mystery of his origin and potential abilities becomes the family's mission.Kyle XY featuring Matt Dallas and Marguerite MacIntyre has one or more episodes available for purchase on iTunes, available for purchase on Google Play, available for purchase on Prime Video, and 2 others. It's a drama and fantasy show with 43 episodes over 3 seasons. Kyle XY is no longer running and has no plans to air new episodes or seasons. It has a better than average IMDb audience rating of 7.5 (27,753 votes) and was met with mixed reviews by critics."/>
    <s v="3Seasons"/>
    <x v="80"/>
  </r>
  <r>
    <x v="424"/>
    <x v="11"/>
    <x v="0"/>
    <n v="8.1999999999999993"/>
    <n v="78"/>
    <x v="51"/>
    <s v="Rob Delaney and Sharon Horgan write and star in a comedy that follows an American man and an Irish woman who make a bloody mess as they struggle to fall in love in London.Catastrophe featuring Sharon Horgan and Rob Delaney has one or more episodes streaming with subscription on Prime Video, and available for purchase on Prime Video. It's a comedy show with 24 episodes over 4 seasons. Catastrophe is no longer running and has no plans to air new episodes or seasons. It has a high IMDb audience rating of 8.2 (15,069 votes) and was very well received by critics."/>
    <s v="4Seasons"/>
    <x v="3"/>
  </r>
  <r>
    <x v="425"/>
    <x v="24"/>
    <x v="2"/>
    <n v="7.8"/>
    <n v="78"/>
    <x v="7"/>
    <s v="The Teen Titans are five heroes under one roof. Their names: Robin, Starfire, Raven, Cyborg, and Beast Boy They live in a large tower in the shape of a T that they call Titan Tower. No secret identities. No school. Just superheroes being superheroes. They must go up against their arch nemesis, Slade, and his evil minions. What he really plans to do is unknown but one thing's for sure... he's an evil madman.Teen Titans featuring Hynden Walch and Scott Menville has one or more episodes streaming with subscription on HBO MAX, streaming with subscription on DC Universe, available for purchase on iTunes, and 4 others. It's an action &amp; adventure and animation show with 66 episodes over 5 seasons. Teen Titans is no longer running and has no plans to air new episodes or seasons. It has a high IMDb audience rating of 7.8 (25,529 votes) and was very well received by critics."/>
    <s v="5Seasons"/>
    <x v="59"/>
  </r>
  <r>
    <x v="426"/>
    <x v="35"/>
    <x v="2"/>
    <n v="8.1999999999999993"/>
    <n v="78"/>
    <x v="38"/>
    <s v="Columbo is a friendly, verbose, disheveled-looking police detective who is consistently underestimated by his suspects. Despite his unprepossessing appearance and apparent absentmindedness, he shrewdly solves all of his cases and secures all evidence needed for indictment. His formidable eye for detail and meticulously dedicated approach often become clear to the killer only late in the storyline.Columbo featuring Peter Falk has one or more episodes free on IMDb TV, free on Peacock, and available for purchase on Prime Video. It's a crime and drama show with 72 episodes over 10 seasons. Columbo is no longer running and has no plans to air new episodes or seasons. It has a high IMDb audience rating of 8.2 (26,411 votes)."/>
    <s v="10Seasons"/>
    <x v="22"/>
  </r>
  <r>
    <x v="427"/>
    <x v="23"/>
    <x v="0"/>
    <n v="8.1"/>
    <n v="78"/>
    <x v="38"/>
    <s v="A drama set in the East End of London in 1889, during the aftermath of the &quot;Ripper&quot; murders. The action centres around the notorious H Division – the police precinct from hell – which is charged with keeping order in the chaotic streets of Whitechapel. Ripper Street explores the lives of characters trying to recover from the Ripper's legacy, from crimes that have not only irretrievably altered their lives, but the very fabric of their city. At the drama's heart our detectives try to bring a little light into the dark world they inhabit.Ripper Street featuring Matthew Macfadyen and Jerome Flynn has one or more episodes streaming with subscription on Netflix, streaming with subscription on Hoopla, available for purchase on iTunes, and 6 others. It's a crime and drama show with 38 episodes over 5 seasons. Ripper Street is no longer running and has no plans to air new episodes or seasons. It has a high IMDb audience rating of 8.1 (18,836 votes) and was very well received by critics."/>
    <s v="5Seasons"/>
    <x v="83"/>
  </r>
  <r>
    <x v="428"/>
    <x v="36"/>
    <x v="1"/>
    <n v="8.5"/>
    <n v="78"/>
    <x v="84"/>
    <s v="A stranded spaceship pilot captured by mad scientists survives a blitz of cheesy B movies by riffing on them with his funny robot pals.Mystery Science Theater 3000 featuring Michael J. Nelson and Kevin Murphy has one or more episodes streaming with subscription on Netflix, streaming with subscription on Hulu, streaming via tv everywhere with IFC, and 5 others. It's a comedy and fantasy show with 200 episodes over 12 seasons. Mystery Science Theater 3000 is no longer running and has no plans to air new episodes or seasons. It has a high IMDb audience rating of 8.5 (22,723 votes) and was well received by critics."/>
    <s v="12 Seasons"/>
    <x v="9"/>
  </r>
  <r>
    <x v="429"/>
    <x v="4"/>
    <x v="0"/>
    <n v="8"/>
    <n v="78"/>
    <x v="88"/>
    <s v="A seasonal anthology series that tells startling, stranger-than-fiction true crime stories with the first season following Gypsy Blanchard, a girl trying to escape the toxic relationship she has with her overprotective mother.The Act featuring Patricia Arquette and Joey King has one or more episodes streaming with subscription on Hulu, available for purchase on Google Play, available for purchase on VUDU, and 1 other. It's a biography and crime show with 8 episodes over 1 season. The Act is still airing with no announced date for the next episode or season. It has a high IMDb audience rating of 8.0 (17,489 votes) and was very well received by critics."/>
    <s v="1Season"/>
    <x v="4"/>
  </r>
  <r>
    <x v="430"/>
    <x v="0"/>
    <x v="2"/>
    <n v="8.1"/>
    <n v="78"/>
    <x v="7"/>
    <s v="The Spectacular Spider-Man is an American animated television series based on the superhero character published by Marvel Comics and developed for television by Greg Weisman and Victor Cook. In terms of tone and style, the series is based primarily on the original stories by Stan Lee and Steve Ditko, with a similar balance of action, drama, and comedy as well as a high school setting. However, it also tends to utilize material from all eras of the comic's run and other sources such as the film series and the Ultimate Spider-Man comics. The Spectacular Spider-Man premiered on March 8, 2008 during the Kids' WB programming block of The CW, and received critical acclaim. The series aired its second season on Marvel's sister network, Disney XD in the United States and ended its run on November 18, 2009, also receiving positive critical attention. Although a third season was planned, the series was cancelled before production could begin.The Spectacular Spider-Man featuring Vanessa Marshall and Josh Keaton has one or more episodes available for purchase on iTunes, available for purchase on Google Play, available for purchase on Prime Video, and 2 others. It's an action &amp; adventure and animation show with 26 episodes over 2 seasons. The Spectacular Spider-Man is no longer running and has no plans to air new episodes or seasons. It has a high IMDb audience rating of 8.1 (9,920 votes) and was very well received by critics."/>
    <s v="2Seasons"/>
    <x v="80"/>
  </r>
  <r>
    <x v="431"/>
    <x v="13"/>
    <x v="2"/>
    <n v="7.3"/>
    <n v="78"/>
    <x v="12"/>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he 4400 featuring Joel Gretsch and Jacqueline McKenzie has one or more episodes streaming with subscription on Netflix. It's a drama and fantasy show with 46 episodes over 4 seasons. The 4400 is no longer running and has no plans to air new episodes or seasons. It has a better than average IMDb audience rating of 7.3 (41,875 votes) and was very well received by critics."/>
    <s v="4 Seasons"/>
    <x v="0"/>
  </r>
  <r>
    <x v="432"/>
    <x v="21"/>
    <x v="0"/>
    <n v="7.8"/>
    <n v="78"/>
    <x v="61"/>
    <s v="The intertwined fates of the picture-perfect Richardson family and an enigmatic mother and daughter who upend their lives. Explore the weight of secrets, the nature of art and identity, the ferocious pull of motherhood – and the danger in believing that following the rules can avert disaster.Little Fires Everywhere featuring Reese Witherspoon and Kerry Washington has one or more episodes streaming with subscription on Hulu, and available for purchase on VUDU. It's a drama show with 8 episodes over 1 season. Little Fires Everywhere is no longer running and has no plans to air new episodes or seasons. It has a high IMDb audience rating of 7.8 (19,714 votes) and was well received by critics."/>
    <s v="1Season"/>
    <x v="4"/>
  </r>
  <r>
    <x v="433"/>
    <x v="5"/>
    <x v="0"/>
    <n v="7.7"/>
    <n v="78"/>
    <x v="76"/>
    <s v="Brothel owner, Margaret Wells, struggles to raise her daughters in London during the 18th century.Harlots featuring Roy Beck and Danny Sapani has one or more episodes streaming with subscription on Hulu, and available for purchase on iTunes. It's a drama and family show with 24 episodes over 3 seasons. Harlots is still airing with no announced date for the next episode or season. It has a high IMDb audience rating of 7.7 (6,269 votes) and was very well received by critics."/>
    <s v="3Seasons"/>
    <x v="4"/>
  </r>
  <r>
    <x v="434"/>
    <x v="13"/>
    <x v="0"/>
    <n v="8.1"/>
    <n v="78"/>
    <x v="11"/>
    <s v="For as long as he can remember, Ichigo Kurosaki has been able to see ghosts. But when he meets Rukia, a Soul Reaper who battles evil spirits known as Hollows, he finds his life is changed forever. Now, with a newfound wealth of spiritual energy, Ichigo discovers his true calling: to protect the living and the dead from evil.Bleach featuring Masakazu Morita and Fumiko Orikasa has one or more episodes streaming with subscription on Netflix, streaming with subscription on Hulu, free on PlutoTV, and 3 others. It's an action &amp; adventure and animation show with 1,223 episodes over 17 seasons. Bleach is no longer running and has no plans to air new episodes or seasons. It has a high IMDb audience rating of 8.1 (42,236 votes)."/>
    <s v="17 Seasons"/>
    <x v="9"/>
  </r>
  <r>
    <x v="435"/>
    <x v="24"/>
    <x v="1"/>
    <n v="8.1"/>
    <n v="78"/>
    <x v="22"/>
    <s v="When her life comes to an abrupt end, George discovers that death is nothing like she thought it would be. Recruited to collect the souls of others as they die, she suddenly finds herself an unwilling participant in a line of work she never knew existed: Grim Reaping!Dead Like Me featuring Ellen Muth and Mandy Patinkin has one or more episodes free on VUDU, free on IMDb TV, available for purchase on iTunes, and 1 other. It's a comedy and crime show with 32 episodes over 2 seasons. Dead Like Me is no longer running and has no plans to air new episodes or seasons. It has a high IMDb audience rating of 8.1 (39,532 votes) and was well received by critics."/>
    <s v="2Seasons"/>
    <x v="22"/>
  </r>
  <r>
    <x v="436"/>
    <x v="8"/>
    <x v="1"/>
    <n v="8.3000000000000007"/>
    <n v="78"/>
    <x v="22"/>
    <s v="Andy Millman gave up his day job five years ago in the hope of achieving the big time, but he’s yet to land a speaking part, let alone saunter down the red carpet to pick up an Oscar. He remains optimistic however, as rubbing shoulders with the A-list on-set only serves to reinforce his belief that the big time is just a job or two away.Extras featuring Ricky Gervais and Ashley Jensen has one or more episodes streaming with subscription on Netflix, streaming with subscription on Prime Video, available for purchase on Google Play, and 2 others. It's a comedy and drama show with 12 episodes over 2 seasons. Extras is no longer running and has no plans to air new episodes or seasons. It has a high IMDb audience rating of 8.3 (52,133 votes) and was very well received by critics."/>
    <s v="2Seasons"/>
    <x v="108"/>
  </r>
  <r>
    <x v="437"/>
    <x v="21"/>
    <x v="0"/>
    <n v="6.4"/>
    <n v="78"/>
    <x v="0"/>
    <s v="Down deep in the Mississippi Delta, Trap music meets film noir in this kaleidoscopic story of a little-strip-club-that-could and the big characters who come through its doors—the hopeful, the lost, the broken, the ballers, the beautiful, and the damned.P-Valley featuring Brandee Evans and Nicco Annan has one or more episodes streaming on Starz. It's a crime and drama show with 8 episodes over 1 season. P-Valley is still airing with no announced date for the next episode or season. It has an average IMDb audience rating of 6.4 (1,437 votes) and was very well received by critics."/>
    <s v="1 Season"/>
    <x v="72"/>
  </r>
  <r>
    <x v="438"/>
    <x v="8"/>
    <x v="1"/>
    <n v="7.3"/>
    <n v="78"/>
    <x v="2"/>
    <s v="The series focuses on an eccentric motley crew that is the Smith family and their three housemates: Father, husband, and breadwinner Stan Smith; his better half housewife, Francine Smith; their college-aged daughter, Hayley Smith; and their high-school-aged son, Steve Smith. Outside of the Smith family, there are three additional main characters, including Hayley's boyfriend turned husband, Jeff Fischer; the family's man-in-a-goldfish-body pet, Klaus; and most notably the family's zany alien, Roger, who is &quot;full of masquerades, brazenness, and shocking antics.&quot;American Dad! featuring Seth MacFarlane and Wendy Schaal has one or more episodes streaming with subscription on Hulu, streaming via tv everywhere with TBS, streaming via tv everywhere with Adult Swim (Via Cable/Satellite Provider), and 6 others. It's an animation and comedy show with 312 episodes over 17 seasons. American Dad! is still airing with no announced date for the next episode or season. It has a better than average IMDb audience rating of 7.3 (114,320 votes)."/>
    <s v="17 Seasons"/>
    <x v="18"/>
  </r>
  <r>
    <x v="439"/>
    <x v="2"/>
    <x v="0"/>
    <n v="8"/>
    <n v="78"/>
    <x v="1"/>
    <s v="The series follows the &quot;untold&quot; story of Leonardo Da Vinci: the genius during his early years in Renaissance Florence. As a 25-year old artist, inventor, swordsman, lover, dreamer and idealist, he struggles to live within the confines of his own reality and time as he begins to not only see the future, but invent it.Da Vinci's Demons featuring Tom Riley and Laura Haddock has one or more episodes streaming on Starz, available for purchase on iTunes, available for purchase on Google Play, and 3 others. It's an action &amp; adventure and biography show with 28 episodes over 3 seasons. Da Vinci's Demons is no longer running and has no plans to air new episodes or seasons. It has a high IMDb audience rating of 8.0 (72,552 votes) and was well received by critics."/>
    <s v="3Seasons"/>
    <x v="72"/>
  </r>
  <r>
    <x v="440"/>
    <x v="5"/>
    <x v="2"/>
    <n v="9.3000000000000007"/>
    <n v="78"/>
    <x v="98"/>
    <s v="There is nowhere more powerful and unforgiving yet more beautiful and compelling than the ocean. Join us and explore the greatest yet least known parts of our planet.Blue Planet II featuring David Attenborough has one or more episodes available for purchase on iTunes, available for purchase on Google Play, available for purchase on Prime Video, and 3 others. It's a documentary show with 8 episodes over 1 season. Blue Planet II is no longer running and has no plans to air new episodes or seasons. It has a very high IMDb audience rating of 9.3 (30,844 votes) and was very well received by critics."/>
    <s v="1Season"/>
    <x v="80"/>
  </r>
  <r>
    <x v="441"/>
    <x v="21"/>
    <x v="1"/>
    <n v="8.1999999999999993"/>
    <n v="78"/>
    <x v="22"/>
    <s v="After an unusual event, Zoey Clarke, a whip-smart computer coder forging her way in San Francisco, suddenly starts to hear the innermost wants, thoughts and desires of the people around her through popular songs.Zoey's Extraordinary Playlist featuring Jane Levy and Skylar Astin has one or more episodes streaming with subscription on Hulu, free on NBC, streaming with subscription on fuboTV, and 4 others. It's a comedy and drama show with 12 episodes over 1 season. Zoey's Extraordinary Playlist is still airing with no announced date for the next episode or season. It has a high IMDb audience rating of 8.2 (8,174 votes) and was well received by critics."/>
    <s v="1Season"/>
    <x v="101"/>
  </r>
  <r>
    <x v="442"/>
    <x v="34"/>
    <x v="1"/>
    <n v="8.5"/>
    <n v="78"/>
    <x v="55"/>
    <s v="The show where everything's made up and the points don't matter. Not a talk show, not a sitcom, not a game show, Whose Line Is It Anyway? is a completely unique concept to network television. Four talented actors perform completely unrehearsed skits and games in front of a studio audience. Host Drew Carey sets the scene, with contributions from the audience, but the actors rely completely on their quick wit and improvisational skills. It's genuinely improvised, so anything can happen - and often does.Whose Line Is It Anyway? featuring Drew Carey and Ryan Stiles has one or more episodes streaming with subscription on HBO MAX, free on The CW, free on Tubi, and 7 others. It's a comedy and family show with 483 episodes over 16 seasons. Whose Line Is It Anyway? is no longer running and has no plans to air new episodes or seasons. It has a high IMDb audience rating of 8.5 (39,453 votes)."/>
    <s v="16Seasons"/>
    <x v="109"/>
  </r>
  <r>
    <x v="443"/>
    <x v="11"/>
    <x v="1"/>
    <n v="7.8"/>
    <n v="78"/>
    <x v="8"/>
    <s v="Liza Miller, a suddenly single stay-at-home mother, tries to get back into the working world, only to find it’s nearly impossible to start at the bottom at 40-year old. When a chance encounter convinces her she looks younger than she is, Liza tries to pass herself off as 26 and lands a job as an assistant at Empirical Press. Now she just has to make sure no one finds out the secret only she and her best friend Maggie share.Younger featuring Sutton Foster and Hilary Duff has one or more episodes streaming with subscription on Hulu, free on TV Land, streaming via tv everywhere with TV Land (Via Cable/Satellite Provider), and 6 others. It's a comedy and drama show with 72 episodes over 6 seasons. Younger is still airing with no announced date for the next episode or season. It has a high IMDb audience rating of 7.8 (16,580 votes) and was very well received by critics."/>
    <s v="6Seasons"/>
    <x v="110"/>
  </r>
  <r>
    <x v="444"/>
    <x v="2"/>
    <x v="0"/>
    <n v="8.5"/>
    <n v="78"/>
    <x v="19"/>
    <s v="After breaking up with his girlfriend, Josh comes to the realization that he is homosexual. With the support of his now ex girlfriend Claire, and his best friend and house mate Tom, Josh must help his mother with her battle with depression and the rest of his family embrace his new found lifestyle.Please Like Me featuring Josh Thomas and Thomas Ward has one or more episodes streaming with subscription on Hulu, available for purchase on iTunes, available for purchase on Google Play, and 2 others. It's a comedy and drama show with 32 episodes over 4 seasons. Please Like Me is no longer running and has no plans to air new episodes or seasons. It has a high IMDb audience rating of 8.5 (14,018 votes) and was very well received by critics."/>
    <s v="4Seasons"/>
    <x v="4"/>
  </r>
  <r>
    <x v="445"/>
    <x v="10"/>
    <x v="2"/>
    <n v="8.6999999999999993"/>
    <n v="78"/>
    <x v="99"/>
    <s v="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quot;Freddie&quot; Flintoff.Top Gear featuring Chris Harris and Paddy McGuinness has one or more episodes streaming with subscription on HBO MAX, streaming with subscription on Prime Video, streaming via tv everywhere with BBC America (Via Cable/Satellite Provider), and 10 others. It's a comedy and documentary show with 224 episodes over 28 seasons. Top Gear is still airing with no announced date for the next episode or season. It has a high IMDb audience rating of 8.7 (106,763 votes)."/>
    <s v="28 Seasons"/>
    <x v="111"/>
  </r>
  <r>
    <x v="446"/>
    <x v="3"/>
    <x v="1"/>
    <n v="8.1"/>
    <n v="78"/>
    <x v="13"/>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Travelers featuring Eric McCormack and MacKenzie Porter has one or more episodes streaming with subscription on Netflix, available for purchase on iTunes, available for purchase on Google Play, and 2 others. It's an action &amp; adventure and drama show with 34 episodes over 3 seasons. Travelers is no longer running and has no plans to air new episodes or seasons. It has a high IMDb audience rating of 8.1 (42,938 votes)."/>
    <s v="3Seasons"/>
    <x v="0"/>
  </r>
  <r>
    <x v="447"/>
    <x v="3"/>
    <x v="1"/>
    <n v="7.9"/>
    <n v="78"/>
    <x v="27"/>
    <s v="Teresa flees Mexico after her drug-runner boyfriend is murdered. Settling in Dallas, she looks to become the country's reigning drug smuggler and to avenge her lover's murder.Queen of the South featuring Alice Braga and Hemky Madera has one or more episodes streaming with subscription on Netflix, streaming via tv everywhere with USA (Via Cable/Satellite Provider), available for purchase on iTunes, and 5 others. It's an action &amp; adventure and crime show with 53 episodes over 4 seasons. Queen of the South is still airing with no announced date for the next episode or season. It has a high IMDb audience rating of 7.9 (17,345 votes) and was well received by critics."/>
    <s v="4Seasons"/>
    <x v="112"/>
  </r>
  <r>
    <x v="448"/>
    <x v="11"/>
    <x v="3"/>
    <n v="8.6"/>
    <n v="78"/>
    <x v="100"/>
    <s v="In this Emmy-nominated docuseries, find out what's inside the kitchens and minds of the international culinary stars who are redefining gourmet food.Chef's Table has one or more episodes streaming with subscription on Netflix. It's a documentary and food show with 32 episodes over 6 seasons. Chef's Table is still airing with no announced date for the next episode or season. It has a high IMDb audience rating of 8.6 (12,780 votes) and was very well received by critics."/>
    <s v="6Seasons"/>
    <x v="0"/>
  </r>
  <r>
    <x v="449"/>
    <x v="11"/>
    <x v="0"/>
    <n v="6.9"/>
    <n v="78"/>
    <x v="18"/>
    <s v="What did the world look like as it was transforming into the horrifying apocalypse depicted in &quot;The Walking Dead&quot;? This spin-off set in Los Angeles, following new characters as they face the beginning of the end of the world, will answer that question.Fear the Walking Dead featuring Alycia Debnam-Carey and Danay García has one or more episodes streaming with subscription on Hulu, streaming with subscription on fuboTV, available for purchase on iTunes, and 4 others. It's an action &amp; adventure and drama show with 70 episodes over 6 seasons. Fear the Walking Dead has a new episode airing on October 11th, 2020 (PDT). It has a better than average IMDb audience rating of 6.9 (107,495 votes) and was well received by critics."/>
    <s v="6 Seasons"/>
    <x v="113"/>
  </r>
  <r>
    <x v="450"/>
    <x v="0"/>
    <x v="2"/>
    <n v="7.9"/>
    <n v="78"/>
    <x v="39"/>
    <s v="The unlikely friendship between Merlin, a young man gifted with extraordinary magical powers, and Prince Arthur, heir to the crown of Camelot.Merlin featuring Colin Morgan and Bradley James has one or more episodes streaming with subscription on Netflix, streaming with subscription on Prime Video, streaming with subscription on Hulu, and 7 others. It's an action &amp; adventure and animation show with 65 episodes over 5 seasons. Merlin is no longer running and has no plans to air new episodes or seasons. It has a high IMDb audience rating of 7.9 (71,614 votes)."/>
    <s v="5Seasons"/>
    <x v="20"/>
  </r>
  <r>
    <x v="451"/>
    <x v="4"/>
    <x v="0"/>
    <n v="8"/>
    <n v="78"/>
    <x v="22"/>
    <s v="Ramy, the son of Egyptian immigrants, is on a spiritually conflicting journey in his New Jersey neighborhood, pulled between his Muslim community that thinks life is a constant test, his millennial friends who think life is full of endless possibilities, and a God who's always watching.Ramy featuring Ramy Youssef and May Calamawy has one or more episodes streaming with subscription on Hulu, available for purchase on Google Play, and available for purchase on YouTube. It's a comedy and drama show with 20 episodes over 2 seasons. Ramy is still airing with no announced date for the next episode or season. It has a high IMDb audience rating of 8.0 (8,142 votes) and was very well received by critics."/>
    <s v="2Seasons"/>
    <x v="4"/>
  </r>
  <r>
    <x v="452"/>
    <x v="11"/>
    <x v="2"/>
    <n v="6.3"/>
    <n v="78"/>
    <x v="3"/>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Supergirl featuring Melissa Benoist and Chyler Leigh has one or more episodes streaming with subscription on Netflix, free on The CW, available for purchase on iTunes, and 5 others. It's an action &amp; adventure and drama show with 106 episodes over 5 seasons. Supergirl is still airing with no announced date for the next episode or season. It has an average IMDb audience rating of 6.3 (108,351 votes) and was well received by critics."/>
    <s v="5Seasons"/>
    <x v="21"/>
  </r>
  <r>
    <x v="453"/>
    <x v="7"/>
    <x v="1"/>
    <n v="8.4"/>
    <n v="78"/>
    <x v="0"/>
    <s v="Happy Valley is a dark, funny, multi-layered thriller revolving around the personal and professional life of Catherine, a dedicated, experienced, hard-working copper. She is also a bereaved mother who looks after her orphaned grandchild.Happy Valley featuring Sarah Lancashire and Siobhan Finneran has one or more episodes available for purchase on iTunes, available for purchase on Google Play, available for purchase on Prime Video, and 2 others. It's a crime and drama show with 12 episodes over 2 seasons. Happy Valley is still airing with no announced date for the next episode or season. It has a high IMDb audience rating of 8.4 (32,367 votes) and was very well received by critics."/>
    <s v="2Seasons"/>
    <x v="80"/>
  </r>
  <r>
    <x v="454"/>
    <x v="19"/>
    <x v="0"/>
    <n v="8.1999999999999993"/>
    <n v="78"/>
    <x v="20"/>
    <s v="Party Down is an American comedy television series that follows a Los Angeles, California, catering team for the titular company. The sextet of aspiring Hollywood actors and writers, as well as drifting lost souls, work small-time catering gigs while hoping for their break or some positive change in their lives.Party Down featuring Ken Marino and Adam Scott has one or more episodes streaming on Starz, available for purchase on iTunes, available for purchase on Google Play, and 3 others. It's a comedy show with 20 episodes over 2 seasons. Party Down is no longer running and has no plans to air new episodes or seasons. It has a high IMDb audience rating of 8.2 (27,161 votes) and was very well received by critics."/>
    <s v="2 Seasons"/>
    <x v="72"/>
  </r>
  <r>
    <x v="455"/>
    <x v="6"/>
    <x v="1"/>
    <n v="7.5"/>
    <n v="78"/>
    <x v="0"/>
    <s v="FBI agent Audrey Parker arrives in the small town of Haven, Maine to solve a murder and soon discovers the town's many secrets—which also hold the key to unlocking the mysteries of her lost past.Haven featuring Emily Rose and Maurice Dean Wint has one or more episodes streaming with subscription on Netflix, free on Tubi, available for purchase on iTunes, and 5 others. It's a crime and drama show with 78 episodes over 5 seasons. Haven is no longer running and has no plans to air new episodes or seasons. It has a better than average IMDb audience rating of 7.5 (34,669 votes) and was met with mixed reviews by critics."/>
    <s v="5Seasons"/>
    <x v="21"/>
  </r>
  <r>
    <x v="456"/>
    <x v="16"/>
    <x v="2"/>
    <n v="8.1"/>
    <n v="78"/>
    <x v="46"/>
    <s v="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SpongeBob SquarePants featuring Tom Kenny and Bill Fagerbakke has one or more episodes streaming with subscription on Prime Video, streaming on CBS All Access, streaming via tv everywhere with Nickelodeon (Via Cable/Satellite Provider), and 6 others. It's an animation and children show with 471 episodes over 11 seasons. SpongeBob SquarePants is still airing with no announced date for the next episode or season. It has a high IMDb audience rating of 8.1 (80,727 votes)."/>
    <s v="11 Seasons"/>
    <x v="114"/>
  </r>
  <r>
    <x v="457"/>
    <x v="4"/>
    <x v="1"/>
    <n v="8.6"/>
    <n v="78"/>
    <x v="4"/>
    <s v="The story of a middle-class man who works for a special cell of the National Investigation Agency. While he tries to protect the nation from terrorists, he also has to protect his family from the impact of his secretive, high-pressure, and low paying job.The Family Man featuring Manoj Bajpayee and Priyamani has one or more episodes streaming with subscription on Prime Video. It's an action &amp; adventure and comedy show with 10 episodes over 1 season. The Family Man is still airing with no announced date for the next episode or season. It has a high IMDb audience rating of 8.6 (24,685 votes)."/>
    <s v="1Season"/>
    <x v="3"/>
  </r>
  <r>
    <x v="458"/>
    <x v="6"/>
    <x v="1"/>
    <n v="7.6"/>
    <n v="78"/>
    <x v="0"/>
    <s v="Perhaps their strikingly different personalities make the relationship between detective Jane Rizzoli and medical examiner Maura Isles so effective. Jane, the only female cop in Boston's homicide division, is tough, relentless and rarely lets her guard down, while the impeccably dressed Maura displays a sometimes icy temperament — she is, after all, more comfortable among the dead than the living. Together, the best friends have forged a quirky and supportive relationship; they drop the protective shield in each other's company, and combine their expertise to solve Boston's most complex cases.Rizzoli &amp; Isles featuring Angie Harmon and Sasha Alexander has one or more episodes streaming with subscription on Hulu, available for purchase on iTunes, available for purchase on Google Play, and 4 others. It's a crime and drama show with 105 episodes over 7 seasons. Rizzoli &amp; Isles is no longer running and has no plans to air new episodes or seasons. It has a high IMDb audience rating of 7.6 (29,129 votes) and was well received by critics."/>
    <s v="7Seasons"/>
    <x v="4"/>
  </r>
  <r>
    <x v="459"/>
    <x v="24"/>
    <x v="1"/>
    <n v="7"/>
    <n v="78"/>
    <x v="8"/>
    <s v="A hedonistic jingle writer's free-wheeling life comes to an abrupt halt when his brother and 10-year-old nephew move into his beach-front house.Two and a Half Men featuring Jon Cryer and Conchata Ferrell has one or more episodes streaming via tv everywhere with IFC, streaming via tv everywhere with TV Land (Via Cable/Satellite Provider), streaming with subscription on fuboTV, and 7 others. It's a comedy and romance show with 269 episodes over 12 seasons. Two and a Half Men is no longer running and has no plans to air new episodes or seasons. It has a better than average IMDb audience rating of 7.0 (236,772 votes) and was well received by critics."/>
    <s v="12Seasons"/>
    <x v="115"/>
  </r>
  <r>
    <x v="460"/>
    <x v="4"/>
    <x v="2"/>
    <n v="8.4"/>
    <n v="78"/>
    <x v="74"/>
    <s v="Passengers on board the mysterious Infinity Train must explore a series of endless cars that each contain unique worlds and puzzles to solve in order to unravel the mysteries of the train - and within themselves - to open the doorway home.Infinity Train featuring Kirby Howell-Baptiste and Kyle McCarley has one or more episodes streaming with subscription on HBO MAX, available for purchase on Google Play, available for purchase on VUDU, and 1 other. It's an action &amp; adventure and animation show with 30 episodes over 3 seasons. Infinity Train is still airing with no announced date for the next episode or season. It has a high IMDb audience rating of 8.4 (2,678 votes) and was very well received by critics."/>
    <s v="3Seasons"/>
    <x v="57"/>
  </r>
  <r>
    <x v="461"/>
    <x v="3"/>
    <x v="1"/>
    <n v="7.9"/>
    <n v="78"/>
    <x v="4"/>
    <s v="A slightly unhinged former Navy SEAL lands a job as a police officer in Los Angeles where he's partnered with a veteran detective trying to keep maintain a low stress level in his life.Lethal Weapon featuring Damon Wayans and Seann William Scott has one or more episodes streaming with subscription on Hulu, available for purchase on iTunes, available for purchase on Google Play, and 3 others. It's an action &amp; adventure and comedy show with 55 episodes over 3 seasons. Lethal Weapon is no longer running and has no plans to air new episodes or seasons. It has a high IMDb audience rating of 7.9 (34,507 votes) and was very well received by critics."/>
    <s v="3 Seasons"/>
    <x v="4"/>
  </r>
  <r>
    <x v="462"/>
    <x v="14"/>
    <x v="0"/>
    <n v="7.5"/>
    <n v="78"/>
    <x v="95"/>
    <s v="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Homecoming featuring Janelle Monáe and Alex Karpovsky has one or more episodes streaming with subscription on Prime Video, available for purchase on Google Play, available for purchase on VUDU, and 1 other. It's a drama and mystery show with 17 episodes over 2 seasons. Homecoming is still airing with no announced date for the next episode or season. It has a better than average IMDb audience rating of 7.5 (19,654 votes) and was well received by critics."/>
    <s v="2Seasons"/>
    <x v="3"/>
  </r>
  <r>
    <x v="463"/>
    <x v="5"/>
    <x v="1"/>
    <n v="7"/>
    <n v="78"/>
    <x v="6"/>
    <s v="Every teenager thinks their parents are evil. What if you found out they actually were? Six diverse teenagers who can barely stand each other must unite against a common foe – their parents.Marvel's Runaways featuring Rhenzy Feliz and Ariela Barer has one or more episodes streaming with subscription on Hulu, streaming with subscription on Disney+, available for purchase on iTunes, and 4 others. It's an action &amp; adventure and crime show with 33 episodes over 3 seasons. Marvel's Runaways is no longer running and has no plans to air new episodes or seasons. It has a better than average IMDb audience rating of 7.0 (21,000 votes) and was well received by critics."/>
    <s v="3 Seasons"/>
    <x v="116"/>
  </r>
  <r>
    <x v="464"/>
    <x v="0"/>
    <x v="1"/>
    <n v="7.6"/>
    <n v="78"/>
    <x v="39"/>
    <s v="The adventures of woodsman Richard Cypher, who discovers that he was born to fulfill a prophecy of becoming a guardian hero to oppressed people. With the help of a mysterious woman named Kahlan and a wise old wizard named Zedd, he must stop a ruthless and bloodthirsty tyrant from unleashing an ancient evil and enslaving the world.Legend of the Seeker featuring Craig Horner and Bridget Regan has one or more episodes streaming with subscription on Hulu, free on ABC, available for purchase on iTunes, and 3 others. It's an action &amp; adventure and drama show with 45 episodes over 2 seasons. Legend of the Seeker is no longer running and has no plans to air new episodes or seasons. It has a high IMDb audience rating of 7.6 (32,938 votes) and was not well received by critics."/>
    <s v="2Seasons"/>
    <x v="17"/>
  </r>
  <r>
    <x v="465"/>
    <x v="1"/>
    <x v="0"/>
    <n v="8.6"/>
    <n v="78"/>
    <x v="0"/>
    <s v="When a body is found on the bridge between Denmark and Sweden, right on the border, Danish inspector Martin Rohde and Swedish Saga Norén have to share jurisdiction and work together to find the killer.The Bridge featuring Sofia Helin and Thure Lindhardt has one or more episodes streaming with subscription on Hulu, streaming with subscription on Hoopla, available for purchase on iTunes, and 2 others. It's a crime and drama show with 44 episodes over 4 seasons. The Bridge is no longer running and has no plans to air new episodes or seasons. It has a high IMDb audience rating of 8.6 (55,853 votes)."/>
    <s v="4Seasons"/>
    <x v="117"/>
  </r>
  <r>
    <x v="466"/>
    <x v="17"/>
    <x v="2"/>
    <n v="8.1999999999999993"/>
    <n v="78"/>
    <x v="12"/>
    <s v="A detective investigates a mysterious motel room, which acts as a portal to an alternate universe.The Lost Room featuring Peter Krause and Julianna Margulies has one or more episodes streaming with subscription on Prime Video, free on Tubi, available for purchase on iTunes, and 3 others. It's an action &amp; adventure and drama show with 6 episodes over 1 season. The Lost Room is no longer running and has no plans to air new episodes or seasons. It has a high IMDb audience rating of 8.2 (28,894 votes) and was well received by critics."/>
    <s v="1Season"/>
    <x v="25"/>
  </r>
  <r>
    <x v="467"/>
    <x v="0"/>
    <x v="1"/>
    <n v="8.5"/>
    <n v="78"/>
    <x v="101"/>
    <s v="Adapted from David McCullough's Pulitzer Prize-winning biography, this lavish seven-part miniseries chronicles the life of Founding Father John Adams, starting with the Boston Massacre of 1770 through his years as an ambassador in Europe, then his terms as vice president and president of the United States, up to his death on July 4, 1826.John Adams featuring Paul Giamatti and Laura Linney has one or more episodes streaming with subscription on HBO MAX, streaming on HBO, available for purchase on iTunes, and 4 others. It's a biography and drama show with 7 episodes over 1 season. John Adams is no longer running and has no plans to air new episodes or seasons. It has a high IMDb audience rating of 8.5 (27,601 votes) and was well received by critics."/>
    <s v="1Season"/>
    <x v="1"/>
  </r>
  <r>
    <x v="468"/>
    <x v="1"/>
    <x v="2"/>
    <n v="7.7"/>
    <n v="78"/>
    <x v="22"/>
    <s v="New Yorker Zoe Hart has it all figured out - after graduating top of her class from medical school, she'll follow in her father's footsteps and become a cardio-thoracic surgeon. But when her dreams fall apart, Zoe decides to work at a small practice in Bluebell, Alabama.Hart of Dixie featuring Rachel Bilson and Jaime King has one or more episodes streaming with subscription on Netflix, available for purchase on iTunes, available for purchase on Google Play, and 3 others. It's a comedy and drama show with 76 episodes over 4 seasons. Hart of Dixie is no longer running and has no plans to air new episodes or seasons. It has a high IMDb audience rating of 7.7 (43,908 votes) and was well received by critics."/>
    <s v="4Seasons"/>
    <x v="0"/>
  </r>
  <r>
    <x v="469"/>
    <x v="34"/>
    <x v="0"/>
    <n v="7.1"/>
    <n v="77"/>
    <x v="22"/>
    <s v="Based on the bestselling book by Candace Bushnell, Sex and the City tells the story of four best friends, all single and in their late thirties, as they pursue their careers and talk about their sex lives, all while trying to survive the New York social scene.Sex and the City featuring Sarah Jessica Parker and Kim Cattrall has one or more episodes streaming with subscription on HBO MAX, streaming on HBO, available for purchase on iTunes, and 5 others. It's a comedy and drama show with 94 episodes over 6 seasons. Sex and the City is no longer running and has no plans to air new episodes or seasons. It has a better than average IMDb audience rating of 7.1 (103,234 votes) and was well received by critics."/>
    <s v="6Seasons"/>
    <x v="1"/>
  </r>
  <r>
    <x v="470"/>
    <x v="14"/>
    <x v="1"/>
    <n v="7.5"/>
    <n v="77"/>
    <x v="1"/>
    <s v="16-year-old Henry Coles is an outsider in her new town of Reston, New York. With a major chip on her shoulder and no friends, she remains withdrawn and isolated, but everything changes when a traumatic encounter with a classmate triggers something deep within Henry— unleashing a power she cannot control.Impulse featuring Maddie Hasson and Missi Pyle has one or more episodes streaming with subscription on YouTube Premium, free on YouTube Premium, and available for purchase on VUDU. It's an action &amp; adventure and drama show with 20 episodes over 2 seasons. Impulse is no longer running and has no plans to air new episodes or seasons. It has a better than average IMDb audience rating of 7.5 (8,642 votes) and was very well received by critics."/>
    <s v="2 Seasons"/>
    <x v="98"/>
  </r>
  <r>
    <x v="471"/>
    <x v="6"/>
    <x v="1"/>
    <n v="7.3"/>
    <n v="77"/>
    <x v="6"/>
    <s v="A young CIA operative, Annie Walker, is mysteriously summoned to headquarters for duty as a field operative. While Annie believes she's been promoted for her exceptional linguistic skills, there may be something or someone from her past that her CIA bosses are really after. Auggie Anderson is a CIA military intelligence agent who was blinded while on assignment and is Annie's guide in this world of bureaucracy, excitement and intrigue.Covert Affairs featuring Piper Perabo and Christopher Gorham has one or more episodes free on Peacock, available for purchase on iTunes, available for purchase on Google Play, and 3 others. It's an action &amp; adventure and crime show with 76 episodes over 5 seasons. Covert Affairs is no longer running and has no plans to air new episodes or seasons. It has a better than average IMDb audience rating of 7.3 (26,343 votes) and was very well received by critics."/>
    <s v="5Seasons"/>
    <x v="22"/>
  </r>
  <r>
    <x v="472"/>
    <x v="37"/>
    <x v="1"/>
    <n v="8.5"/>
    <n v="77"/>
    <x v="11"/>
    <s v="Long ago in the mountains, a fighting master known as Gohan discovered a strange boy whom he named Goku. Gohan raised him and trained Goku in martial arts until he died. The young and very strong boy was on his own, but easily managed. Then one day, Goku met a teenage girl named Bulma, whose search for the mystical Dragon Balls brought her to Goku's home. Together, they set off to find all seven and to grant her wish.Dragon Ball featuring Masako Nozawa and Mayumi Tanaka has one or more episodes streaming with subscription on Hulu, streaming with subscription on Funimation, and available for purchase on Prime Video. It's an action &amp; adventure and animation show with 248 episodes over 9 seasons. Dragon Ball is no longer running and has no plans to air new episodes or seasons. It has a high IMDb audience rating of 8.5 (45,981 votes)."/>
    <s v="9Seasons"/>
    <x v="69"/>
  </r>
  <r>
    <x v="473"/>
    <x v="14"/>
    <x v="0"/>
    <n v="8"/>
    <n v="77"/>
    <x v="88"/>
    <s v="The stranger-than-fiction account of a prison break in upstate New York in the summer of 2015, which spawned a massive manhunt for two convicted murderers who were aided in their escape by a married female prison employee with whom they both became sexually entangled.Escape at Dannemora featuring Benicio del Toro and Patricia Arquette has one or more episodes streaming with subscription on Prime Video, streaming on Showtime, streaming with subscription on fuboTV, and 4 others. It's a biography and crime show with 10 episodes over 1 season. Escape at Dannemora is no longer running and has no plans to air new episodes or seasons. It has a high IMDb audience rating of 8.0 (17,695 votes) and was very well received by critics."/>
    <s v="1Season"/>
    <x v="118"/>
  </r>
  <r>
    <x v="474"/>
    <x v="14"/>
    <x v="1"/>
    <n v="8.1"/>
    <n v="77"/>
    <x v="102"/>
    <s v="From crippling payday loans to cars that cheat emissions tests, this investigative series exposes brazen acts of corporate greed and corruption.Dirty Money has one or more episodes streaming with subscription on Netflix. It's a crime and documentary show with 12 episodes over 2 seasons. Dirty Money is still airing with no announced date for the next episode or season. It has a high IMDb audience rating of 8.1 (7,387 votes) and was very well received by critics."/>
    <s v="2Seasons"/>
    <x v="0"/>
  </r>
  <r>
    <x v="475"/>
    <x v="7"/>
    <x v="1"/>
    <n v="8.1"/>
    <n v="77"/>
    <x v="1"/>
    <s v="The story of New York farmer, Abe Woodhull, who bands together with a group of childhood friends to form The Culper Ring, an unlikely group of spies who turn the tide in America’s fight for independence.TURN: Washington's Spies featuring Jamie Bell and Seth Numrich has one or more episodes streaming with subscription on Netflix, available for purchase on iTunes, available for purchase on Google Play, and 3 others. It's an action &amp; adventure and drama show with 40 episodes over 4 seasons. TURN: Washington's Spies is no longer running and has no plans to air new episodes or seasons. It has a high IMDb audience rating of 8.1 (19,003 votes) and was well received by critics."/>
    <s v="4 Seasons"/>
    <x v="0"/>
  </r>
  <r>
    <x v="476"/>
    <x v="4"/>
    <x v="0"/>
    <n v="8"/>
    <n v="77"/>
    <x v="8"/>
    <s v="Over eight standalone episodes, the series explores love in its multitude of forms – including sexual, romantic, familial, platonic, and self love.Modern Love has one or more episodes streaming with subscription on Prime Video. It's a comedy and romance show with 8 episodes over 1 season. Modern Love is still airing with no announced date for the next episode or season. It has a high IMDb audience rating of 8.0 (16,417 votes) and was well received by critics."/>
    <s v="1Season"/>
    <x v="3"/>
  </r>
  <r>
    <x v="477"/>
    <x v="2"/>
    <x v="1"/>
    <n v="8"/>
    <n v="77"/>
    <x v="6"/>
    <s v="The year is 2048. By mandate, every cop must partner with a robot. Detective John Kennex returns to work after waking up from a 17-month coma. As he adjusts to working with his new partner, Dorian, a discontinued android with unexpected emotional responses, John also must learn to get along with his new colleagues.Almost Human featuring Karl Urban and Michael Ealy has one or more episodes free on IMDb TV, available for purchase on iTunes, available for purchase on Google Play, and 1 other. It's an action &amp; adventure and crime show with 13 episodes over 1 season. Almost Human is no longer running and has no plans to air new episodes or seasons. It has a high IMDb audience rating of 8.0 (47,167 votes) and was well received by critics."/>
    <s v="1 Season"/>
    <x v="22"/>
  </r>
  <r>
    <x v="478"/>
    <x v="1"/>
    <x v="0"/>
    <n v="7.8"/>
    <n v="77"/>
    <x v="52"/>
    <s v="A British husband-and-wife comedy writing team travel to Hollywood to remake their successful British TV series, with disastrous results.Episodes featuring Matt LeBlanc and Stephen Mangan has one or more episodes streaming with subscription on Netflix, streaming on Showtime, streaming with subscription on fuboTV, and 4 others. It's a comedy show with 44 episodes over 5 seasons. Episodes is no longer running and has no plans to air new episodes or seasons. It has a high IMDb audience rating of 7.8 (32,233 votes) and was well received by critics."/>
    <s v="5Seasons"/>
    <x v="23"/>
  </r>
  <r>
    <x v="479"/>
    <x v="21"/>
    <x v="0"/>
    <n v="7.9"/>
    <n v="77"/>
    <x v="41"/>
    <s v="The true story of the movement to ratify the Equal Rights Amendment, and the unexpected backlash led by a conservative woman named Phyllis Schlafly, aka “the sweetheart of the silent majority.”Mrs. America featuring Cate Blanchett and Rose Byrne has one or more episodes streaming with subscription on Hulu, available for purchase on Google Play, available for purchase on VUDU, and 1 other. It's a biography and drama show with 9 episodes over 1 season. Mrs. America is no longer running and has no plans to air new episodes or seasons. It has a high IMDb audience rating of 7.9 (5,904 votes) and was very well received by critics."/>
    <s v="1Season"/>
    <x v="4"/>
  </r>
  <r>
    <x v="480"/>
    <x v="17"/>
    <x v="3"/>
    <n v="9.4"/>
    <n v="77"/>
    <x v="103"/>
    <s v="David Attenborough celebrates the amazing variety of the natural world in this epic documentary series, filmed over four years across 64 different countries.Planet Earth featuring David Attenborough has one or more episodes available for purchase on Google Play, available for purchase on Prime Video, available for purchase on VUDU, and 1 other. It's a documentary show with 11 episodes over 1 season. Planet Earth is no longer running and has no plans to air new episodes or seasons. It has a very high IMDb audience rating of 9.4 (162,843 votes)."/>
    <s v="1Season"/>
    <x v="80"/>
  </r>
  <r>
    <x v="481"/>
    <x v="14"/>
    <x v="1"/>
    <n v="8"/>
    <n v="77"/>
    <x v="54"/>
    <s v="Frustrated with her thankless office job, Retsuko the Red Panda copes with her daily struggles by belting out death metal karaoke after work.Aggretsuko featuring Kaolip and Komegumi Koiwasaki has one or more episodes streaming with subscription on Netflix. It's an animation and anime show with 30 episodes over 3 seasons. Aggretsuko is still airing with no announced date for the next episode or season. It has a high IMDb audience rating of 8.0 (4,412 votes) and was very well received by critics."/>
    <s v="3Seasons"/>
    <x v="0"/>
  </r>
  <r>
    <x v="482"/>
    <x v="5"/>
    <x v="0"/>
    <n v="7.7"/>
    <n v="77"/>
    <x v="4"/>
    <s v="Josh Futturman, a janitor by day/world-ranked gamer by night, is tasked with preventing the extinction of humanity after mysterious visitors from the future proclaim him the key to defeating the imminent super-race invasion.Future Man featuring Josh Hutcherson and Eliza Coupe has one or more episodes streaming with subscription on Hulu, available for purchase on iTunes, available for purchase on Google Play, and 3 others. It's an action &amp; adventure and comedy show with 34 episodes over 3 seasons. Future Man is no longer running and has no plans to air new episodes or seasons. It has a high IMDb audience rating of 7.7 (20,283 votes) and was very well received by critics."/>
    <s v="3Seasons"/>
    <x v="4"/>
  </r>
  <r>
    <x v="483"/>
    <x v="0"/>
    <x v="1"/>
    <n v="7.8"/>
    <n v="77"/>
    <x v="11"/>
    <s v="At the Death Weapon Meister Academy, three teams must collect the souls of 99 evil humans and one witch.Soul Eater featuring Chiaki Omigawa and Kouki Uchiyama has one or more episodes streaming with subscription on Netflix, streaming with subscription on Hulu, streaming with subscription on Funimation, and 2 others. It's an action &amp; adventure and animation show with 52 episodes over 2 seasons. Soul Eater is no longer running and has no plans to air new episodes or seasons. It has a high IMDb audience rating of 7.8 (10,734 votes) and was very well received by critics."/>
    <s v="2 Seasons"/>
    <x v="119"/>
  </r>
  <r>
    <x v="484"/>
    <x v="19"/>
    <x v="1"/>
    <n v="6.7"/>
    <n v="77"/>
    <x v="22"/>
    <s v="In this musical comedy, optimistic high school teacher Will Schuester tries to refuel his own passion while reinventing the high school's glee club and challenging a group of outcasts to realize their star potential as they strive to outshine their singing competition while navigating the cruel halls of McKinley High.Glee featuring Matthew Morrison and Jane Lynch has one or more episodes streaming with subscription on Netflix, available for purchase on iTunes, available for purchase on Google Play, and 4 others. It's a comedy and drama show with 121 episodes over 6 seasons. Glee is no longer running and has no plans to air new episodes or seasons. It has a better than average IMDb audience rating of 6.7 (134,193 votes) and was well received by critics."/>
    <s v="6Seasons"/>
    <x v="0"/>
  </r>
  <r>
    <x v="485"/>
    <x v="6"/>
    <x v="1"/>
    <n v="7.3"/>
    <n v="77"/>
    <x v="6"/>
    <s v="Steve McGarrett returns home to Oahu, in order to find his father's killer. The governor offers him the chance to run his own task force (Five-0). Steve's team is joined by Chin Ho Kelly, Danny &quot;Danno&quot; Williams, and Kono Kalakaua.Hawaii Five-0 featuring Alex O'Loughlin and Scott Caan has one or more episodes streaming on CBS All Access, available for purchase on iTunes, available for purchase on Google Play, and 4 others. It's an action &amp; adventure and crime show with 240 episodes over 10 seasons. Hawaii Five-0 is no longer running and has no plans to air new episodes or seasons. It has a better than average IMDb audience rating of 7.3 (65,552 votes) and was well received by critics."/>
    <s v="10 Seasons"/>
    <x v="97"/>
  </r>
  <r>
    <x v="486"/>
    <x v="24"/>
    <x v="1"/>
    <n v="7.9"/>
    <n v="77"/>
    <x v="10"/>
    <s v="This partially unscripted comedy brings viewers into the squad car as incompetent officers swing into action, answering 911 calls about everything from speeding violations and prostitution to staking out a drug den. Within each episode, viewers catch a &quot;fly on the wall&quot; glimpse of the cops' often politically incorrect opinions, ranging from their personal feelings to professional critiques of their colleagues.Reno 911! featuring Thomas Lennon and Cedric Yarbrough has one or more episodes streaming on CBS All Access, streaming via tv everywhere with Comedy Central (Via Cable/Satellite Provider), free on Comedy Central, and 8 others. It's a comedy and crime show with 114 episodes over 7 seasons. Reno 911! is no longer running and has no plans to air new episodes or seasons. It has a high IMDb audience rating of 7.9 (16,438 votes) and was well received by critics."/>
    <s v="7 Seasons"/>
    <x v="62"/>
  </r>
  <r>
    <x v="487"/>
    <x v="26"/>
    <x v="2"/>
    <n v="8"/>
    <n v="77"/>
    <x v="55"/>
    <s v="A gifted young teen tries to survive life with his dimwitted, dysfunctional family.Malcolm in the Middle featuring Frankie Muniz and Jane Kaczmarek has one or more episodes streaming with subscription on Hulu, and free on IMDb TV. It's a comedy and family show with 151 episodes over 7 seasons. Malcolm in the Middle is no longer running and has no plans to air new episodes or seasons. It has a high IMDb audience rating of 8.0 (114,203 votes)."/>
    <s v="7 Seasons"/>
    <x v="17"/>
  </r>
  <r>
    <x v="488"/>
    <x v="21"/>
    <x v="0"/>
    <n v="8.4"/>
    <n v="77"/>
    <x v="104"/>
    <s v="A suburban neurotic man in his late 20s has convinced himself that he’s destined to be one of the best rappers of all time. Now he must convince his closest friends, because with their help, he might actually convince the world.DAVE featuring Lil Dicky and Taylor Misiak has one or more episodes streaming with subscription on Hulu, and available for purchase on VUDU. It's a comedy show with 10 episodes over 1 season. DAVE is still airing with no announced date for the next episode or season. It has a high IMDb audience rating of 8.4 (7,975 votes) and was well received by critics."/>
    <s v="1Season"/>
    <x v="4"/>
  </r>
  <r>
    <x v="489"/>
    <x v="23"/>
    <x v="1"/>
    <n v="7.6"/>
    <n v="77"/>
    <x v="11"/>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Sword Art Online featuring Yoshitsugu Matsuoka and Haruka Tomatsu has one or more episodes streaming with subscription on Netflix, streaming with subscription on Hulu, streaming with subscription on Crunchyroll, and 3 others. It's an action &amp; adventure and animation show with 140 episodes over 4 seasons. Sword Art Online has a new episode airing on September 19th, 2020 (PDT). It has a high IMDb audience rating of 7.6 (34,130 votes)."/>
    <s v="4Seasons"/>
    <x v="9"/>
  </r>
  <r>
    <x v="490"/>
    <x v="16"/>
    <x v="2"/>
    <n v="8.1"/>
    <n v="77"/>
    <x v="7"/>
    <s v="20 years after Bruce Wayne hung up his cowl, his secret is discovered by troubled teen Terry McGinnis. After McGinnis' father is murdered by the man who now controls Wayne Enterprises, McGinnis is fitted into a high-tech Bat suit by Bruce Wayne, creating a new hero for a future Gotham.Batman Beyond featuring Will Friedle and Cree Summer has one or more episodes streaming with subscription on DC Universe, available for purchase on iTunes, available for purchase on Google Play, and 2 others. It's an action &amp; adventure and animation show with 120 episodes over 3 seasons. Batman Beyond is no longer running and has no plans to air new episodes or seasons. It has a high IMDb audience rating of 8.1 (23,638 votes) and was very well received by critics."/>
    <s v="3 Seasons"/>
    <x v="46"/>
  </r>
  <r>
    <x v="491"/>
    <x v="21"/>
    <x v="0"/>
    <n v="7.1"/>
    <n v="77"/>
    <x v="12"/>
    <s v="When the sun suddenly starts killing everything in its path, passengers on an overnight flight from Brussels attempt to survive by any means necessary.Into the Night featuring Pauline Étienne and Laurent Capelluto has one or more episodes streaming with subscription on Netflix. It's a drama and fantasy show with 6 episodes over 1 season. Into the Night is still airing with no announced date for the next episode or season. It has a better than average IMDb audience rating of 7.1 (17,952 votes) and was well received by critics."/>
    <s v="1 Season"/>
    <x v="0"/>
  </r>
  <r>
    <x v="492"/>
    <x v="14"/>
    <x v="0"/>
    <n v="8.5"/>
    <n v="77"/>
    <x v="6"/>
    <s v="The iron-fisted Akhandanand Tripathi is a millionaire carpet exporter and the mafia don of Mirzapur. His son, Munna, is an unworthy, power-hungry heir who will stop at nothing to inherit his father's legacy. An incident at a wedding procession forces him to cross paths with Ramakant Pandit, an upstanding lawyer, and his sons, Guddu and Bablu. It snowballs into a game of ambition, power and greed that threatens the fabric of this lawless city.Mirzapur featuring Ali Fazal and Vikrant Massey has one or more episodes streaming with subscription on Prime Video. It's an action &amp; adventure and crime show with 9 episodes over 1 season. Mirzapur is still airing with no announced date for the next episode or season. It has a high IMDb audience rating of 8.5 (29,714 votes)."/>
    <s v="1Season"/>
    <x v="3"/>
  </r>
  <r>
    <x v="493"/>
    <x v="2"/>
    <x v="0"/>
    <n v="7.5"/>
    <n v="77"/>
    <x v="0"/>
    <s v="A woman haunted by her past, Detective Robin Griffin, investigates complex and unsettling cases.Top of the Lake featuring Elisabeth Moss and David Dencik has one or more episodes streaming with subscription on Hulu, available for purchase on iTunes, available for purchase on Google Play, and 4 others. It's a crime and drama show with 13 episodes over 2 seasons. Top of the Lake is still airing with no announced date for the next episode or season. It has a better than average IMDb audience rating of 7.5 (31,587 votes) and was well received by critics."/>
    <s v="2Seasons"/>
    <x v="4"/>
  </r>
  <r>
    <x v="494"/>
    <x v="6"/>
    <x v="1"/>
    <n v="7.7"/>
    <n v="77"/>
    <x v="0"/>
    <s v="The gorgeous and charismatic Bo is a supernatural being called a succubus who feeds on the energy of humans, sometimes with fatal results. Refusing to embrace her supernatural clan and its rigid hierarchy, Bo is a renegade who takes up the fight for the underdog while searching for the truth about her own mysterious origins.Lost Girl featuring Anna Silk and Zoie Palmer has one or more episodes streaming with subscription on Netflix, available for purchase on iTunes, available for purchase on Google Play, and 4 others. It's an animation and crime show with 77 episodes over 5 seasons. Lost Girl is no longer running and has no plans to air new episodes or seasons. It has a high IMDb audience rating of 7.7 (28,217 votes) and was well received by critics."/>
    <s v="5Seasons"/>
    <x v="0"/>
  </r>
  <r>
    <x v="495"/>
    <x v="5"/>
    <x v="0"/>
    <n v="8.5"/>
    <n v="77"/>
    <x v="24"/>
    <s v="A four-part documentary series that tells the stories of Jimmy Iovine and Dr. Dre -- one the son of a Brooklyn longshoreman, the other straight out of Compton - -- and their improbable partnership and surprising leading roles in a series of transformative events in contemporary culture.The Defiant Ones featuring Dr. Dre and Jimmy Iovine has one or more episodes streaming on HBO, free on Peacock, available for purchase on iTunes, and 4 others. It's a biography and crime show with 4 episodes over 1 season. The Defiant Ones is no longer running and has no plans to air new episodes or seasons. It has a high IMDb audience rating of 8.5 (11,047 votes) and was very well received by critics."/>
    <s v="1Season"/>
    <x v="120"/>
  </r>
  <r>
    <x v="496"/>
    <x v="20"/>
    <x v="2"/>
    <n v="8.4"/>
    <n v="77"/>
    <x v="76"/>
    <s v="Life is hard on the Flemings' ranch in the Alberta foothills where abused or neglected horses find refuge with a kind, hard-working family. Debts abound and the bank is about to foreclose. Can they keep the ranch running?Heartland featuring Amber Marshall and Graham Wardle has one or more episodes streaming with subscription on Netflix, streaming with subscription on Prime Video, streaming with subscription on Dove Channel (Via Prime Video), and 8 others. It's a drama and family show with 214 episodes over 13 seasons. Heartland is still airing with no announced date for the next episode or season. It has a high IMDb audience rating of 8.4 (8,616 votes) and was met with mixed reviews by critics."/>
    <s v="13Seasons"/>
    <x v="121"/>
  </r>
  <r>
    <x v="497"/>
    <x v="19"/>
    <x v="2"/>
    <n v="8.1999999999999993"/>
    <n v="77"/>
    <x v="84"/>
    <s v="Better Off Ted focuses on the protagonist, Ted Crisp, a single father and the well-respected and beloved head of a research and development department at the fictional, soulless conglomerate of Veridian Dynamics.Better Off Ted featuring Jay Harrington and Portia de Rossi has one or more episodes streaming with subscription on Hulu, available for purchase on iTunes, available for purchase on Google Play, and 4 others. It's a Comedy and Science Fiction show with 26 episodes over 2 seasons. Better Off Ted is no longer running and has no plans to air new episodes or seasons. It has a high IMDb audience rating of 8.2 (24,367 votes) and was very well received by critics."/>
    <s v="2Seasons"/>
    <x v="4"/>
  </r>
  <r>
    <x v="498"/>
    <x v="24"/>
    <x v="1"/>
    <n v="7.5"/>
    <n v="77"/>
    <x v="23"/>
    <s v="Ryan Atwood, a teen from the wrong side of the tracks, moves in with a wealthy family willing to give him a chance. But Ryan's arrival disturbs the status quo of the affluent, privileged community of Newport Beach, California.The O.C. featuring Ben McKenzie and Adam Brody has one or more episodes streaming with subscription on HBO MAX, available for purchase on iTunes, available for purchase on Google Play, and 4 others. It's a comedy and drama show with 92 episodes over 4 seasons. The O.C. is no longer running and has no plans to air new episodes or seasons. It has a better than average IMDb audience rating of 7.5 (79,459 votes) and was well received by critics."/>
    <s v="4Seasons"/>
    <x v="57"/>
  </r>
  <r>
    <x v="499"/>
    <x v="2"/>
    <x v="1"/>
    <n v="8.1999999999999993"/>
    <n v="77"/>
    <x v="3"/>
    <s v="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The Originals featuring Joseph Morgan and Daniel Gillies has one or more episodes streaming with subscription on Netflix, available for purchase on iTunes, available for purchase on Google Play, and 4 others. It's a drama and fantasy show with 94 episodes over 5 seasons. The Originals is no longer running and has no plans to air new episodes or seasons. It has a high IMDb audience rating of 8.2 (113,367 votes) and was disliked by critics."/>
    <s v="5Seasons"/>
    <x v="0"/>
  </r>
  <r>
    <x v="500"/>
    <x v="21"/>
    <x v="0"/>
    <n v="7.5"/>
    <n v="77"/>
    <x v="12"/>
    <s v="The story of the town and people who live above “The Loop,” a machine built to unlock and explore the mysteries of the universe – making things possible that were previously relegated only to science fiction.Tales from the Loop has one or more episodes streaming with subscription on Prime Video. It's a drama and fantasy show with 8 episodes over 1 season. Tales from the Loop is no longer running and has no plans to air new episodes or seasons. It has a better than average IMDb audience rating of 7.5 (11,235 votes) and was well received by critics."/>
    <s v="1Season"/>
    <x v="3"/>
  </r>
  <r>
    <x v="501"/>
    <x v="14"/>
    <x v="1"/>
    <n v="8.3000000000000007"/>
    <n v="77"/>
    <x v="49"/>
    <s v="An astronaut named Gary and his planet-destroying sidekick Mooncake embark on serialized journeys through space in order to unlock the mystery of “Final Space,” the last point in the universe, if it actually does exist.Final Space featuring Olan Rogers and Fred Armisen has one or more episodes streaming via tv everywhere with TBS, streaming via tv everywhere with Adult Swim (Via Cable/Satellite Provider), available for purchase on Google Play, and 2 others. It's an action &amp; adventure and animation show with 27 episodes over 2 seasons. Final Space is still airing with no announced date for the next episode or season. It has a high IMDb audience rating of 8.3 (30,869 votes) and was well received by critics."/>
    <s v="2Seasons"/>
    <x v="122"/>
  </r>
  <r>
    <x v="502"/>
    <x v="21"/>
    <x v="1"/>
    <n v="7.4"/>
    <n v="77"/>
    <x v="77"/>
    <s v="This docuseries traces the history of classic video games, featuring insights from the innovators who brought these worlds and characters to life.High Score featuring Charles Martinet has one or more episodes streaming with subscription on Netflix. It's a documentary and history show with 6 episodes over 1 season. High Score is no longer running and has no plans to air new episodes or seasons. It has a better than average IMDb audience rating of 7.4 (3,431 votes) and was well received by critics."/>
    <s v="1Season"/>
    <x v="0"/>
  </r>
  <r>
    <x v="503"/>
    <x v="4"/>
    <x v="1"/>
    <n v="7.8"/>
    <n v="77"/>
    <x v="28"/>
    <s v="The spirited and impulsive Charlotte Heywood moves from her rural home to Sanditon, a fishing village attempting to reinvent itself as a seaside resort.Sanditon featuring Rose Williams and Theo James has one or more episodes free on PBS, available for purchase on Google Play, available for purchase on VUDU, and 1 other. It's a drama and romance show with 8 episodes over 1 season. Sanditon is no longer running and has no plans to air new episodes or seasons. It has a high IMDb audience rating of 7.8 (6,191 votes) and was met with mixed reviews by critics."/>
    <s v="1Season"/>
    <x v="22"/>
  </r>
  <r>
    <x v="504"/>
    <x v="11"/>
    <x v="1"/>
    <n v="7.6"/>
    <n v="77"/>
    <x v="27"/>
    <s v="Brakebills University is a secret institution specializing in magic. There, amidst an unorthodox education of spellcasting, a group of twenty-something friends soon discover that a magical fantasy world they read about as children is all too real— and poses grave danger to humanity.The Magicians featuring Olivia Taylor Dudley and Arjun Gupta has one or more episodes streaming with subscription on Netflix, streaming via tv everywhere with Syfy, streaming with subscription on fuboTV, and 5 others. It's an action &amp; adventure and drama show with 65 episodes over 5 seasons. The Magicians is still airing with no announced date for the next episode or season. It has a high IMDb audience rating of 7.6 (41,721 votes)."/>
    <s v="5Seasons"/>
    <x v="82"/>
  </r>
  <r>
    <x v="505"/>
    <x v="23"/>
    <x v="0"/>
    <n v="8.3000000000000007"/>
    <n v="77"/>
    <x v="59"/>
    <s v="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Key &amp; Peele featuring Keegan-Michael Key and Jordan Peele has one or more episodes streaming with subscription on Hulu, streaming via tv everywhere with Comedy Central (Via Cable/Satellite Provider), free on Comedy Central, and 7 others. It's an action &amp; adventure and comedy show with 53 episodes over 5 seasons. Key &amp; Peele is no longer running and has no plans to air new episodes or seasons. It has a high IMDb audience rating of 8.3 (16,456 votes) and was very well received by critics."/>
    <s v="5Seasons"/>
    <x v="88"/>
  </r>
  <r>
    <x v="506"/>
    <x v="21"/>
    <x v="0"/>
    <n v="7.6"/>
    <n v="77"/>
    <x v="6"/>
    <s v="A tight-knit group of teens unearths a long-buried secret, setting off a chain of illicit events that takes them on an adventure they'll never forget.Outer Banks featuring Chase Stokes and Madelyn Cline has one or more episodes streaming with subscription on Netflix. It's an action &amp; adventure and crime show with 10 episodes over 1 season. Outer Banks is still airing with no announced date for the next episode or season. It has a high IMDb audience rating of 7.6 (15,466 votes) and was well received by critics."/>
    <s v="1Season"/>
    <x v="0"/>
  </r>
  <r>
    <x v="507"/>
    <x v="14"/>
    <x v="1"/>
    <n v="8"/>
    <n v="77"/>
    <x v="96"/>
    <s v="A coming of age comedy following a diverse group of teenage friends as they confront the challenges of growing up in gritty inner-city Los Angeles.On My Block featuring Jason Genao and Sierra Capri has one or more episodes streaming with subscription on Netflix. It's a comedy show with 28 episodes over 3 seasons. On My Block is still airing with no announced date for the next episode or season. It has a high IMDb audience rating of 8.0 (9,746 votes) and was very well received by critics."/>
    <s v="3Seasons"/>
    <x v="0"/>
  </r>
  <r>
    <x v="508"/>
    <x v="1"/>
    <x v="1"/>
    <n v="7.7"/>
    <n v="77"/>
    <x v="19"/>
    <s v="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Happy Endings featuring Eliza Coupe and Elisha Cuthbert has one or more episodes streaming with subscription on Hulu, free on Sony Crackle, available for purchase on iTunes, and 5 others. It's a comedy and LGBTQ show with 57 episodes over 3 seasons. Happy Endings is no longer running and has no plans to air new episodes or seasons. It has a high IMDb audience rating of 7.7 (33,815 votes) and was well received by critics."/>
    <s v="3 Seasons"/>
    <x v="17"/>
  </r>
  <r>
    <x v="509"/>
    <x v="2"/>
    <x v="0"/>
    <n v="8"/>
    <n v="77"/>
    <x v="18"/>
    <s v="Thousands of dead people have risen from their graves and nearly destroyed Britain. A cure has been found - but can the treated zombies be rehabilitated back into living society?In the Flesh featuring Luke Newberry and Marie Critchley has one or more episodes streaming with subscription on Hulu, available for purchase on iTunes, available for purchase on Google Play, and 3 others. It's a drama and horror show with 9 episodes over 2 seasons. In the Flesh is no longer running and has no plans to air new episodes or seasons. It has a high IMDb audience rating of 8.0 (12,557 votes) and was very well received by critics."/>
    <s v="2 Seasons"/>
    <x v="4"/>
  </r>
  <r>
    <x v="510"/>
    <x v="19"/>
    <x v="1"/>
    <n v="8.4"/>
    <n v="77"/>
    <x v="0"/>
    <s v="A raw and authentic look into the Los Angeles crime scene, going far inside the lives of cops, criminals, victims and their families. The show centers on four main characters: Officer John Cooper, a seasoned cop who will have to prove himself again after recovering from surgery; Officer Ben Sherman, who still has much to learn after recently completing his training rotation; Detective Lydia Adams, whose unending caseload hits closer to home; and Sammy Bryant, a former detective who decided to go back to being a uniform cop after the traumatic death of his partner.Southland featuring Ben McKenzie and Michael Cudlitz has one or more episodes available for purchase on iTunes, available for purchase on Google Play, available for purchase on Microsoft Store, and 2 others. It's a crime and drama show with 43 episodes over 5 seasons. Southland is no longer running and has no plans to air new episodes or seasons. It has a high IMDb audience rating of 8.4 (24,317 votes) and was very well received by critics."/>
    <s v="5 Seasons"/>
    <x v="80"/>
  </r>
  <r>
    <x v="511"/>
    <x v="21"/>
    <x v="0"/>
    <n v="7.6"/>
    <n v="77"/>
    <x v="5"/>
    <s v="A group of aspiring actors and filmmakers in post-World War II Hollywood try to make it big — no matter the cost.Hollywood featuring Jeremy Pope and David Corenswet has one or more episodes streaming with subscription on Netflix. It's a drama and history show with 7 episodes over 1 season. Hollywood is no longer running and has no plans to air new episodes or seasons. It has a high IMDb audience rating of 7.6 (25,493 votes) and was met with mixed reviews by critics."/>
    <s v="1Season"/>
    <x v="0"/>
  </r>
  <r>
    <x v="512"/>
    <x v="5"/>
    <x v="1"/>
    <n v="7.4"/>
    <n v="77"/>
    <x v="27"/>
    <s v="A suburban couple's ordinary lives are rocked by the sudden discovery that their children possess mutant powers. Forced to go on the run from a hostile government, the family joins up with an underground network of mutants and must fight to survive.The Gifted featuring Stephen Moyer and Amy Acker has one or more episodes streaming with subscription on Hulu, streaming via tv everywhere with FOX (Via Cable/Satellite Provider), available for purchase on iTunes, and 5 others. It's an action &amp; adventure and drama show with 29 episodes over 2 seasons. The Gifted is no longer running and has no plans to air new episodes or seasons. It has a better than average IMDb audience rating of 7.4 (30,288 votes) and was well received by critics."/>
    <s v="2Seasons"/>
    <x v="102"/>
  </r>
  <r>
    <x v="513"/>
    <x v="7"/>
    <x v="2"/>
    <n v="8.3000000000000007"/>
    <n v="77"/>
    <x v="0"/>
    <s v="Doctor Henry Morgan, New York City’s star medical examiner, has a secret. He doesn't just study the dead to solve criminal cases, he does it to solve the mystery that has eluded him for 200 years—the answer to his own inexplicable immortality. This long life has given Henry remarkable observation skills which impresses his new partner, Detective Jo Martinez. Each week, a new case and their budding friendship will reveal layers of Henry’s long and colorful past. Only his best friend and confidant, Abe knows Henry’s secret.Forever featuring Ioan Gruffudd and Judd Hirsch has one or more episodes free on CW Seed, available for purchase on iTunes, available for purchase on Google Play, and 3 others. It's a crime and drama show with 22 episodes over 1 season. Forever is no longer running and has no plans to air new episodes or seasons. It has a high IMDb audience rating of 8.3 (52,021 votes) and was met with mixed reviews by critics."/>
    <s v="1Season"/>
    <x v="22"/>
  </r>
  <r>
    <x v="514"/>
    <x v="2"/>
    <x v="1"/>
    <n v="7.4"/>
    <n v="77"/>
    <x v="3"/>
    <s v="Ichabod Crane is resurrected and pulled two and a half centuries through time to unravel a mystery that dates all the way back to the founding fathers.Sleepy Hollow featuring Tom Mison and Oona Yaffe has one or more episodes streaming with subscription on Hulu, available for purchase on Google Play, available for purchase on Prime Video, and 2 others. It's an action &amp; adventure and crime show with 63 episodes over 4 seasons. Sleepy Hollow is no longer running and has no plans to air new episodes or seasons. It has a better than average IMDb audience rating of 7.4 (56,875 votes) and was well received by critics."/>
    <s v="4 Seasons"/>
    <x v="4"/>
  </r>
  <r>
    <x v="515"/>
    <x v="20"/>
    <x v="0"/>
    <n v="8.1"/>
    <n v="77"/>
    <x v="0"/>
    <s v="Damages is an American legal thriller television series created by the writing and production trio of Daniel Zelman and brothers Glenn and Todd A. Kessler. The plot revolves around the brilliant, ruthless lawyer Patty Hewes and her protégée, recent law school graduate Ellen Parsons. Each season features a major case that Hewes and her firm take on, while also examining a chapter of the complicated relationship between Ellen and Patty. The first two seasons center around the law firm Hewes &amp; Associates. Later seasons center more on Patty and Ellen's relationship as Ellen begins to distance herself from Hewes &amp; Associates and begins an independent career.Damages featuring Glenn Close and Rose Byrne has one or more episodes streaming with subscription on Hulu, available for purchase on iTunes, available for purchase on Google Play, and 3 others. It's a crime and drama show with 60 episodes over 5 seasons. Damages is no longer running and has no plans to air new episodes or seasons. It has a high IMDb audience rating of 8.1 (27,483 votes) and was very well received by critics."/>
    <s v="5Seasons"/>
    <x v="4"/>
  </r>
  <r>
    <x v="516"/>
    <x v="7"/>
    <x v="0"/>
    <n v="8.1999999999999993"/>
    <n v="77"/>
    <x v="22"/>
    <s v="In the tradition of Anthony Bourdain's &quot;Kitchen Confidential&quot; and Gelsey Kirkland's &quot;Dancing on my Grave&quot; comes an insider’s look into the secret world of classical musicians. From her debut recital at Carnegie Recital Hall to the Broadway pits of &quot;Les Miserables&quot; and &quot;Miss Saigon,&quot; Blair Tindall has played with some of the biggest names in classical music for twenty-five years. Now in &quot;Mozart in the Jungle,&quot; Tindall exposes the scandalous rock and roll lifestyles of the musicians, conductors, and administrators who inhabit the insular world of classical music.Mozart in the Jungle featuring Gael García Bernal and Lola Kirke has one or more episodes streaming with subscription on Prime Video. It's a comedy and drama show with 40 episodes over 4 seasons. Mozart in the Jungle is no longer running and has no plans to air new episodes or seasons. It has a high IMDb audience rating of 8.2 (22,038 votes) and was very well received by critics."/>
    <s v="4Seasons"/>
    <x v="3"/>
  </r>
  <r>
    <x v="517"/>
    <x v="11"/>
    <x v="0"/>
    <n v="8.1"/>
    <n v="77"/>
    <x v="5"/>
    <s v="A gripping coming-of-age story set against the real culture wars and political events of Germany in the 1980s. The drama follows Martin Rauch as the 24 year-old East Germany native is pulled from the world as he knows it and sent to the West as an undercover spy for the Stasi foreign service. Hiding in plain sight in the West German army, he must gather the secrets of NATO military strategy. Everything is new, nothing is quite what it seems and everyone he encounters is harboring secrets, both political and personal.Deutschland featuring Jonas Nay and Sonja Gerhardt has one or more episodes streaming with subscription on Hulu, streaming on Sundance Now, available for purchase on iTunes, and 3 others. It's an action &amp; adventure and drama show with 19 episodes over 2 seasons. Deutschland is still airing with no announced date for the next episode or season. It has a high IMDb audience rating of 8.1 (11,060 votes) and was very well received by critics."/>
    <s v="2Seasons"/>
    <x v="4"/>
  </r>
  <r>
    <x v="518"/>
    <x v="2"/>
    <x v="1"/>
    <n v="7.4"/>
    <n v="77"/>
    <x v="105"/>
    <s v="Notorious serial killer Joe Carroll, after being found guilty of murdering 14 female students on the Virginia college campus where he taught literature, escapes from death row. The FBI calls former agent Ryan Hardy to consult on the case, as he was the one responsible for Carroll’s capture in 2003. Ryan, working closely with an FBI team, including Mike Weston and FBI Specialist Debra Parker, piece together the ever-growing web of murders orchestrated by the devious Carroll.The Following featuring Kevin Bacon and Shawn Ashmore has one or more episodes available for purchase on iTunes, available for purchase on Google Play, available for purchase on Prime Video, and 3 others. It's a crime and cult show with 45 episodes over 3 seasons. The Following is no longer running and has no plans to air new episodes or seasons. It has a better than average IMDb audience rating of 7.4 (82,993 votes) and was met with mixed reviews by critics."/>
    <s v="3Seasons"/>
    <x v="80"/>
  </r>
  <r>
    <x v="519"/>
    <x v="3"/>
    <x v="0"/>
    <n v="7.9"/>
    <n v="77"/>
    <x v="8"/>
    <s v="Follows the awkward experiences and racy tribulations of a modern-day African-American woman.Insecure featuring Issa Rae and Jay Ellis has one or more episodes streaming with subscription on HBO MAX, streaming on HBO, available for purchase on iTunes, and 5 others. It's a comedy and drama show with 36 episodes over 4 seasons. Insecure is still airing with no announced date for the next episode or season. It has a high IMDb audience rating of 7.9 (11,798 votes) and was very well received by critics."/>
    <s v="4Seasons"/>
    <x v="1"/>
  </r>
  <r>
    <x v="520"/>
    <x v="11"/>
    <x v="2"/>
    <n v="7.9"/>
    <n v="76"/>
    <x v="13"/>
    <s v="Ten strangers, drawn away from their normal lives to an isolated rock off the Devon coast. But as the mismatched group waits for the arrival of the hosts -- the improbably named Mr. and Mrs. U.N. Owen -- the weather sours and they find themselves cut off from civilization. Very soon, the guests, each struggling with their conscience, will start to die -- one by one, according to the rules of the nursery rhyme 'Ten Little Soldier Boys' -- a rhyme that hangs in every room of the house and ends with the most terrifying words of all: '... and then there were none.And Then There Were None featuring Douglas Booth and Charles Dance has one or more episodes streaming with subscription on Acorn TV, available for purchase on Google Play, and available for purchase on Prime Video. It's a crime and drama show with 3 episodes over 1 season. And Then There Were None is no longer running and has no plans to air new episodes or seasons. It has a high IMDb audience rating of 7.9 (31,082 votes) and was well received by critics."/>
    <s v="1 Season"/>
    <x v="123"/>
  </r>
  <r>
    <x v="521"/>
    <x v="7"/>
    <x v="1"/>
    <n v="8.1"/>
    <n v="76"/>
    <x v="33"/>
    <s v="A riveting police drama about the men and women of the Chicago Police Department's District 21 who put it all on the line to serve and protect their community. District 21 is made up of two distinctly different groups: the uniformed cops who patrol the beat and go head-to-head with the city's street crimes and the Intelligence Unit that combats the city's major offenses - organized crime, drug trafficking, high profile murders and beyond.Chicago P.D. featuring Jason Beghe and Tracy Spiridakos has one or more episodes streaming with subscription on Prime Video, streaming with subscription on Hulu, streaming via tv everywhere with Oxygen (Via Cable/Satellite Provider), and 9 others. It's an action &amp; adventure and crime show with 151 episodes over 7 seasons. Chicago P.D. has a new episode airing on November 11th, 2020 (PST). It has a high IMDb audience rating of 8.1 (26,535 votes)."/>
    <s v="7 Seasons"/>
    <x v="60"/>
  </r>
  <r>
    <x v="522"/>
    <x v="1"/>
    <x v="1"/>
    <n v="7.2"/>
    <n v="76"/>
    <x v="17"/>
    <s v="Falling Skies opens in the chaotic aftermath of an alien attack that has left most of the world completely incapacitated. In the six months since the initial invasion, the few survivors have banded together outside major cities to begin the difficult task of fighting back. Each day is a test of survival as citizen soldiers work to protect the people in their care while also engaging in an insurgency campaign against the occupying alien force.Falling Skies featuring Noah Wyle and Moon Bloodgood has one or more episodes streaming with subscription on Hoopla, available for purchase on iTunes, available for purchase on Google Play, and 3 others. It's an action &amp; adventure and drama show with 52 episodes over 5 seasons. Falling Skies is no longer running and has no plans to air new episodes or seasons. It has a better than average IMDb audience rating of 7.2 (84,611 votes) and was well received by critics."/>
    <s v="5 Seasons"/>
    <x v="124"/>
  </r>
  <r>
    <x v="523"/>
    <x v="4"/>
    <x v="0"/>
    <n v="7.6"/>
    <n v="76"/>
    <x v="18"/>
    <s v="A Philadelphia couple are in mourning after an unspeakable tragedy creates a rift in their marriage and opens the door for a mysterious force to enter their home.Servant featuring Lauren Ambrose and Toby Kebbell has one or more episodes streaming with subscription on Apple TV+. It's a drama and horror show with 10 episodes over 1 season. Servant is still airing with no announced date for the next episode or season. It has a high IMDb audience rating of 7.6 (14,387 votes) and was well received by critics."/>
    <s v="1Season"/>
    <x v="52"/>
  </r>
  <r>
    <x v="524"/>
    <x v="2"/>
    <x v="0"/>
    <n v="8.4"/>
    <n v="76"/>
    <x v="106"/>
    <s v="The  Utopia Experiments is a legendary graphic novel shrouded in mystery.  When a group of strangers find themselves in possession of an original  manuscript, their lives suddenly and brutally implode.Utopia featuring Alexandra Roach and Nathan Stewart-Jarrett has one or more episodes available for purchase on Google Play, and available for purchase on YouTube. It's a drama and mystery show with 18 episodes over 2 seasons. Utopia is no longer running and has no plans to air new episodes or seasons. It has a high IMDb audience rating of 8.4 (38,415 votes)."/>
    <s v="2Seasons"/>
    <x v="80"/>
  </r>
  <r>
    <x v="525"/>
    <x v="21"/>
    <x v="4"/>
    <n v="8.8000000000000007"/>
    <n v="76"/>
    <x v="107"/>
    <s v="From birth to brain surgery: This docuseries provides an intimate look at the lifesaving work of four doctors at Lenox Hill Hospital in NYC.Lenox Hill featuring John Boockvar and David Langer has one or more episodes streaming with subscription on Netflix. It's a documentary show with 9 episodes over 1 season. Lenox Hill is still airing with no announced date for the next episode or season. It has a high IMDb audience rating of 8.8 (1,438 votes) and was very well received by critics."/>
    <s v="1Season"/>
    <x v="0"/>
  </r>
  <r>
    <x v="526"/>
    <x v="38"/>
    <x v="1"/>
    <n v="8.4"/>
    <n v="76"/>
    <x v="11"/>
    <s v="The son of a world famous mystery writer, Jimmy Kudo, has achieved his own notoriety by assisting the local police as a student detective. He has always been able to solve the most difficult of criminal cases using his wits and power of reason.Case Closed featuring Minami Takayama and Kappei Yamaguchi has one or more episodes streaming with subscription on Netflix, streaming with subscription on Hulu, streaming with subscription on Crunchyroll, and 4 others. It's an action &amp; adventure and animation show with 3,222 episodes over 29 seasons. Case Closed is still airing with no announced date for the next episode or season. It has a high IMDb audience rating of 8.4 (10,399 votes)."/>
    <s v="29 Seasons"/>
    <x v="9"/>
  </r>
  <r>
    <x v="527"/>
    <x v="21"/>
    <x v="0"/>
    <n v="7.6"/>
    <n v="76"/>
    <x v="104"/>
    <s v="Meet the team behind the biggest multiplayer video game of all time. But in a workplace focused on building worlds, molding heroes, and creating legends, the most hard-fought battles don’t occur in the game—they happen in the office.Mythic Quest: Raven's Banquet featuring Rob McElhenney and Charlotte Nicdao has one or more episodes streaming with subscription on Apple TV+. It's a comedy show with 10 episodes over 1 season. Mythic Quest: Raven's Banquet is still airing with no announced date for the next episode or season. It has a high IMDb audience rating of 7.6 (6,493 votes) and was very well received by critics."/>
    <s v="1Season"/>
    <x v="52"/>
  </r>
  <r>
    <x v="528"/>
    <x v="21"/>
    <x v="0"/>
    <n v="7.1"/>
    <n v="76"/>
    <x v="12"/>
    <s v="In a utopia whose perfection hinges upon control of monogamy and privacy, members of the collective begin to question the rules, putting their regimented society on a collision course with forbidden love and revolution.Brave New World featuring Alden Ehrenreich and Jessica Brown Findlay has one or more episodes free on Peacock, and streaming with subscription on Peacock Premium. It's a drama and fantasy show with 9 episodes over 1 season. Brave New World is still airing with no announced date for the next episode or season. It has a better than average IMDb audience rating of 7.1 (5,169 votes) and was not well received by critics."/>
    <s v="1Season"/>
    <x v="125"/>
  </r>
  <r>
    <x v="529"/>
    <x v="13"/>
    <x v="2"/>
    <n v="8.1"/>
    <n v="76"/>
    <x v="17"/>
    <s v="With the Ancients' city of Atlantis discovered in the Pegasus Galaxy by Stargate Command, Dr. Elizabeth Weir and Major Sheppard lead a scientific expedition to the ancient abandoned city. Once there, the team not only find themselves unable to contact Earth, but their explorations unexpectedly reawaken the Ancients' deadly enemies, The Wraith, who hunger for this new prey. Now with the help of newfound local allies like Teyla Emmagan, the Atlantis Team sets about to uncover their new home's secrets even as their war of survival against the Wraith begins.Stargate Atlantis featuring Joe Flanigan and David Hewlett has one or more episodes streaming with subscription on Prime Video, streaming with subscription on Hulu, available for purchase on iTunes, and 4 others. It's an action &amp; adventure and drama show with 101 episodes over 5 seasons. Stargate Atlantis is no longer running and has no plans to air new episodes or seasons. It has a high IMDb audience rating of 8.1 (60,065 votes)."/>
    <s v="5Seasons"/>
    <x v="15"/>
  </r>
  <r>
    <x v="530"/>
    <x v="3"/>
    <x v="0"/>
    <n v="8.5"/>
    <n v="76"/>
    <x v="22"/>
    <s v="The owners of a dive bar in Brooklyn, Horace and Pete, along with bar regulars share their experiences and lives with each other while drinking or working at the bar.Horace and Pete featuring Louis C. K. and Steve Buscemi has one or more episodes streaming with subscription on Hulu. It's a comedy and drama show with 10 episodes over 1 season. Horace and Pete is no longer running and has no plans to air new episodes or seasons. It has a high IMDb audience rating of 8.5 (14,534 votes) and was very well received by critics."/>
    <s v="1 Season"/>
    <x v="4"/>
  </r>
  <r>
    <x v="531"/>
    <x v="39"/>
    <x v="3"/>
    <n v="7.9"/>
    <n v="76"/>
    <x v="55"/>
    <s v="A satirical inversion of the ideal of the perfect American nuclear family, they are an eccentric wealthy family who delight in everything grotesque and macabre, and are never really aware that people find them bizarre or frightening. In fact, they themselves are often terrified by &quot;normal&quot; people. The Addams Family is the creation of American cartoonist Charles Addams.The Addams Family featuring Carolyn Jones and John Astin has one or more episodes streaming with subscription on Prime Video, free on PlutoTV, free on VUDU, and 5 others. It's a comedy and family show with 64 episodes over 2 seasons. The Addams Family is no longer running and has no plans to air new episodes or seasons. It has a high IMDb audience rating of 7.9 (13,844 votes) and was very well received by critics."/>
    <s v="2Seasons"/>
    <x v="25"/>
  </r>
  <r>
    <x v="532"/>
    <x v="40"/>
    <x v="2"/>
    <n v="8.4"/>
    <n v="76"/>
    <x v="12"/>
    <s v="After resigning, a secret agent is abducted and taken to what looks like an idyllic village, but is really a bizarre prison. His warders demand information. He gives them nothing, but only tries to escape.The Prisoner featuring Patrick McGoohan and Peter Swanwick has one or more episodes free on Tubi, streaming with subscription on AMC Premiere, and available for purchase on Prime Video. It's a drama and fantasy show with 17 episodes over 1 season. The Prisoner is no longer running and has no plans to air new episodes or seasons. It has a high IMDb audience rating of 8.4 (12,147 votes) and was very well received by critics."/>
    <s v="1Season"/>
    <x v="126"/>
  </r>
  <r>
    <x v="533"/>
    <x v="11"/>
    <x v="1"/>
    <n v="7.3"/>
    <n v="76"/>
    <x v="59"/>
    <s v="The year is 2022, and after an unlikely event, only one man is left on earth: Phil Miller, who used to be just an average guy who loved his family and hated his job at the bank. Now, in his RV, Phil searches the country for other survivors.The Last Man on Earth featuring Will Forte and Kristen Schaal has one or more episodes streaming with subscription on Hulu, streaming via tv everywhere with FOX (Via Cable/Satellite Provider), available for purchase on iTunes, and 6 others. It's an action &amp; adventure and comedy show with 67 episodes over 4 seasons. The Last Man on Earth is no longer running and has no plans to air new episodes or seasons. It has a better than average IMDb audience rating of 7.3 (51,765 votes) and was well received by critics."/>
    <s v="4Seasons"/>
    <x v="102"/>
  </r>
  <r>
    <x v="534"/>
    <x v="13"/>
    <x v="0"/>
    <n v="8.3000000000000007"/>
    <n v="76"/>
    <x v="22"/>
    <s v="Rescue Me revolves around the lives of the men in a New York City firehouse, the crew of 62 Truck. Examining the fraternal nature and relationships of firefighters, the series tackles the daily drama of the life-and-death situations associated with being a firefighter, while exploring the ways the men use dark humor to protect their true emotions.Rescue Me featuring Denis Leary and Adam Ferrara has one or more episodes streaming with subscription on Hulu, free on Sony Crackle, available for purchase on iTunes, and 5 others. It's an action &amp; adventure and comedy show with 94 episodes over 7 seasons. Rescue Me is no longer running and has no plans to air new episodes or seasons. It has a high IMDb audience rating of 8.3 (24,653 votes) and was very well received by critics."/>
    <s v="7 Seasons"/>
    <x v="17"/>
  </r>
  <r>
    <x v="535"/>
    <x v="4"/>
    <x v="4"/>
    <n v="7.8"/>
    <n v="76"/>
    <x v="108"/>
    <s v="When soldier Shaun Emery's conviction for a murder in Afghanistan is overturned due to flawed video evidence, he returns to life as a free man with his young daughter. But when damning CCTV footage from a night out in London comes to light, Shaun's life takes a shocking turn and he must soon fight for his freedom once again.The Capture featuring Holliday Grainger and Callum Turner has one or more episodes free on Peacock, and streaming with subscription on Peacock Premium. It's a crime and drama show with 6 episodes over 1 season. The Capture is still airing with no announced date for the next episode or season. It has a high IMDb audience rating of 7.8 (8,306 votes) and was very well received by critics."/>
    <s v="1 Season"/>
    <x v="125"/>
  </r>
  <r>
    <x v="536"/>
    <x v="20"/>
    <x v="1"/>
    <n v="8.1"/>
    <n v="76"/>
    <x v="8"/>
    <s v="Gavin is an ordinary boy from Billericay, Essex. Stacey is an ordinary girl from Barry Island, South Wales. They’ve spoken on the phone every day at work for months but they’ve never actually met… until now.Gavin &amp; Stacey featuring Joanna Page and Mathew Horne has one or more episodes streaming with subscription on HBO MAX, streaming with subscription on Prime Video, streaming on BritBox, and 5 others. It's a comedy and drama show with 30 episodes over 4 seasons. Gavin &amp; Stacey is no longer running and has no plans to air new episodes or seasons. It has a high IMDb audience rating of 8.1 (16,148 votes) and was very well received by critics."/>
    <s v="4 Seasons"/>
    <x v="127"/>
  </r>
  <r>
    <x v="537"/>
    <x v="39"/>
    <x v="3"/>
    <n v="7.3"/>
    <n v="76"/>
    <x v="55"/>
    <s v="Gilligan's Island is an American sitcom created and produced by Sherwood Schwartz and originally produced by United Artists Television. The situation comedy series featured Bob Denver; Alan Hale, Jr.; Jim Backus; Natalie Schafer; Tina Louise; Russell Johnson; and Dawn Wells. It aired for three seasons on the CBS network from September 26, 1964, to September 4, 1967. Originally sponsored by Philip Morris &amp; Company and Procter &amp; Gamble, the show followed the comic adventures of seven castaways as they attempted to survive the island on which they had been shipwrecked. Most episodes revolve around the dissimilar castaways' conflicts and their failed attempts to escape their plight.Gilligan's Island ran for a total of 98 episodes. The first season, consisting of 36 episodes, was filmed in black-and-white. These episodes were later colorized for syndication. The show's second and third seasons and the three television movie sequels were filmed in color.The show enjoyed solid ratings during its original run, then grew in popularity during decades of syndication, especially in the 1970s and 1980s when many markets ran the show in the late afternoon after school. Today, the title character of Gilligan is widely recognized as an American cultural icon.Gilligan's Island featuring Bob Denver and Alan Hale Jr. has one or more episodes available for purchase on iTunes, available for purchase on Google Play, available for purchase on Prime Video, and 2 others. It's a comedy and family show with 98 episodes over 3 seasons. Gilligan's Island is no longer running and has no plans to air new episodes or seasons. It has a better than average IMDb audience rating of 7.3 (12,300 votes) and was very well received by critics."/>
    <s v="3Seasons"/>
    <x v="80"/>
  </r>
  <r>
    <x v="538"/>
    <x v="4"/>
    <x v="0"/>
    <n v="8.1"/>
    <n v="76"/>
    <x v="102"/>
    <s v="A group of online justice seekers track down a guy who posted a video of him killing kittens.Don't F**k with Cats: Hunting an Internet Killer featuring Deanna Thompson and John Green has one or more episodes streaming with subscription on Netflix. It's a crime and documentary show with 3 episodes over 1 season. Don't F**k with Cats: Hunting an Internet Killer is no longer running and has no plans to air new episodes or seasons. It has a high IMDb audience rating of 8.1 (32,312 votes) and was well received by critics."/>
    <s v="1Season"/>
    <x v="0"/>
  </r>
  <r>
    <x v="539"/>
    <x v="5"/>
    <x v="1"/>
    <n v="8.1"/>
    <n v="76"/>
    <x v="60"/>
    <s v="This docuseries examines the decades-old murder of Sister Catherine Cesnik and its suspected link to a priest accused of abuse.The Keepers has one or more episodes streaming with subscription on Netflix. It's a crime and documentary show with 7 episodes over 1 season. The Keepers is still airing with no announced date for the next episode or season. It has a high IMDb audience rating of 8.1 (17,129 votes) and was very well received by critics."/>
    <s v="1Season"/>
    <x v="0"/>
  </r>
  <r>
    <x v="540"/>
    <x v="21"/>
    <x v="0"/>
    <n v="8.3000000000000007"/>
    <n v="76"/>
    <x v="74"/>
    <s v="Traversing trippy worlds inside his universe simulator, Clancy the space caster explores existential questions about life, death and everything in between.The Midnight Gospel featuring Duncan Trussell and Phil Hendrie has one or more episodes streaming with subscription on Netflix. It's an action &amp; adventure and animation show with 8 episodes over 1 season. The Midnight Gospel is no longer running and has no plans to air new episodes or seasons. It has a high IMDb audience rating of 8.3 (9,610 votes) and was very well received by critics."/>
    <s v="1 Season"/>
    <x v="0"/>
  </r>
  <r>
    <x v="541"/>
    <x v="4"/>
    <x v="0"/>
    <n v="8.1999999999999993"/>
    <n v="76"/>
    <x v="6"/>
    <s v="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Warrior featuring Andrew Koji and Olivia Cheng has one or more episodes streaming via tv everywhere with MaxGo, available for purchase on Google Play, available for purchase on VUDU, and 1 other. It's an action &amp; adventure and crime show with 10 episodes over 1 season. Warrior is still airing with no announced date for the next episode or season. It has a high IMDb audience rating of 8.2 (10,798 votes) and was well received by critics."/>
    <s v="1Season"/>
    <x v="71"/>
  </r>
  <r>
    <x v="542"/>
    <x v="14"/>
    <x v="0"/>
    <n v="8"/>
    <n v="76"/>
    <x v="22"/>
    <s v="Jeff, aka Mr. Pickles, is an icon of children's TV. But when his family begins to implode, Jeff finds no fairy tale or fable or puppet will guide him through this crisis, which advances faster than his means to cope. The result: a kind man in a cruel world faces a slow leak of sanity as hilarious as it is heartbreaking.Kidding featuring Jim Carrey and Frank Langella has one or more episodes streaming on Showtime, free on Showtime FREEview, streaming with subscription on fuboTV, and 3 others. It's a comedy and drama show with 22 episodes over 2 seasons. Kidding is still airing with no announced date for the next episode or season. It has a high IMDb audience rating of 8.0 (14,928 votes) and was well received by critics."/>
    <s v="2 Seasons"/>
    <x v="31"/>
  </r>
  <r>
    <x v="543"/>
    <x v="21"/>
    <x v="0"/>
    <n v="6.8"/>
    <n v="76"/>
    <x v="104"/>
    <s v="A four-star general begrudgingly teams up with an eccentric scientist to get the U.S. military's newest agency — Space Force — ready for lift-off.Space Force featuring Steve Carell and John Malkovich has one or more episodes streaming with subscription on Netflix. It's a comedy show with 10 episodes over 1 season. Space Force is still airing with no announced date for the next episode or season. It has a better than average IMDb audience rating of 6.8 (39,529 votes) and was not well received by critics."/>
    <s v="1 Season"/>
    <x v="0"/>
  </r>
  <r>
    <x v="544"/>
    <x v="1"/>
    <x v="0"/>
    <n v="8.1"/>
    <n v="76"/>
    <x v="0"/>
    <s v="Boss is an American political drama television serial created by Farhad Safinia. The series stars Kelsey Grammer as Tom Kane, the mayor of Chicago, who has recently been diagnosed with dementia with Lewy bodies, a degenerative neurological disorder.Boss featuring Kelsey Grammer and Connie Nielsen has one or more episodes streaming on Starz, available for purchase on iTunes, available for purchase on Google Play, and 3 others. It's a crime and drama show with 18 episodes over 2 seasons. Boss is no longer running and has no plans to air new episodes or seasons. It has a high IMDb audience rating of 8.1 (16,902 votes) and was well received by critics."/>
    <s v="2Seasons"/>
    <x v="72"/>
  </r>
  <r>
    <x v="545"/>
    <x v="6"/>
    <x v="0"/>
    <n v="8.3000000000000007"/>
    <n v="76"/>
    <x v="92"/>
    <s v="Three incoming freshman in a big-time, Midwestern college football program have to juggle football, girls, class and nonstop hazing.Blue Mountain State featuring Darin Brooks and Alan Ritchson has one or more episodes available for purchase on iTunes, available for purchase on Google Play, available for purchase on Prime Video, and 2 others. It's a comedy and sport show with 39 episodes over 3 seasons. Blue Mountain State is no longer running and has no plans to air new episodes or seasons. It has a high IMDb audience rating of 8.3 (47,858 votes)."/>
    <s v="3 Seasons"/>
    <x v="80"/>
  </r>
  <r>
    <x v="546"/>
    <x v="21"/>
    <x v="1"/>
    <n v="6.4"/>
    <n v="76"/>
    <x v="28"/>
    <s v="American astronaut Emma Green must leave her husband and teenage daughter behind to command an international space crew embarking upon a treacherous mission. A series about hope, humanity and how we need one another if we are to achieve impossible things.Away featuring Hilary Swank and Josh Charles has one or more episodes streaming with subscription on Netflix. It's a drama and fantasy show with 10 episodes over 1 season. Away is still airing with no announced date for the next episode or season. It has an average IMDb audience rating of 6.4 (7,473 votes) and was well received by critics."/>
    <s v="1Season"/>
    <x v="0"/>
  </r>
  <r>
    <x v="547"/>
    <x v="14"/>
    <x v="0"/>
    <n v="7.9"/>
    <n v="76"/>
    <x v="105"/>
    <s v="The harrowing true story of the 1993 standoff between the FBI, ATF and the Branch Davidians, a spiritual sect led by David Koresh in Waco, TX that resulted in a deadly shootout and fire.Waco featuring Michael Shannon and Taylor Kitsch has one or more episodes streaming with subscription on Netflix, available for purchase on iTunes, available for purchase on Google Play, and 3 others. It's a crime and cult show with 6 episodes over 1 season. Waco is no longer running and has no plans to air new episodes or seasons. It has a high IMDb audience rating of 7.9 (16,121 votes) and was well received by critics."/>
    <s v="1Season"/>
    <x v="0"/>
  </r>
  <r>
    <x v="548"/>
    <x v="4"/>
    <x v="0"/>
    <n v="8.3000000000000007"/>
    <n v="76"/>
    <x v="10"/>
    <s v="Three women living in three different decades: a housewife in the '60s, a socialite in the '80s and a lawyer in 2018, deal with infidelity in their marriages.Why Women Kill featuring Ginnifer Goodwin and Lucy Liu has one or more episodes streaming on CBS All Access. It's a comedy and crime show with 10 episodes over 1 season. Why Women Kill is still airing with no announced date for the next episode or season. It has a high IMDb audience rating of 8.3 (8,993 votes) and was met with mixed reviews by critics."/>
    <s v="1Season"/>
    <x v="97"/>
  </r>
  <r>
    <x v="549"/>
    <x v="14"/>
    <x v="3"/>
    <n v="8.8000000000000007"/>
    <n v="76"/>
    <x v="109"/>
    <s v="A mind-bending, thrilling journey exploring the fragility and wonder of planet Earth, one of the most peculiar, unique places in the entire universe, brought to life by the only people to have left it behind – the world’s most well known and leading astronauts.One Strange Rock featuring Will Smith has one or more episodes streaming with subscription on Disney+, available for purchase on iTunes, available for purchase on Google Play, and 4 others. It's a documentary show with 10 episodes over 1 season. One Strange Rock is still airing with no announced date for the next episode or season. It has a high IMDb audience rating of 8.8 (6,193 votes) and was well received by critics."/>
    <s v="1Season"/>
    <x v="14"/>
  </r>
  <r>
    <x v="550"/>
    <x v="4"/>
    <x v="0"/>
    <n v="7.2"/>
    <n v="76"/>
    <x v="22"/>
    <s v="Burned out on life, Miles undergoes a strange procedure at a strip mall spa -- and wakes to find he's been replaced by a better version of himself.Living with Yourself featuring Paul Rudd and Aisling Bea has one or more episodes streaming with subscription on Netflix. It's a comedy and drama show with 8 episodes over 1 season. Living with Yourself is still airing with no announced date for the next episode or season. It has a better than average IMDb audience rating of 7.2 (23,451 votes) and was well received by critics."/>
    <s v="1Season"/>
    <x v="0"/>
  </r>
  <r>
    <x v="551"/>
    <x v="1"/>
    <x v="1"/>
    <n v="7.5"/>
    <n v="76"/>
    <x v="22"/>
    <s v="Three paranormal roommates, a ghost, a vampire, and a werewolf, struggle to keep their dark secrets from the world, while helping each other navigate the complexities of living double lives.Being Human featuring Samuel Witwer and Meaghan Rath has one or more episodes free on PlutoTV, free on Sony Crackle, free on Tubi, and 6 others. It's a comedy and drama show with 77 episodes over 5 seasons. Being Human is no longer running and has no plans to air new episodes or seasons. It has a better than average IMDb audience rating of 7.5 (24,032 votes) and was well received by critics."/>
    <s v="5Seasons"/>
    <x v="22"/>
  </r>
  <r>
    <x v="552"/>
    <x v="14"/>
    <x v="1"/>
    <n v="7.2"/>
    <n v="76"/>
    <x v="0"/>
    <s v="This true crime anthology, based on the podcast of the same name, follows the terrifyingly true story of Orange County interior designer Debra Newell’s romance with John Meehan, a handsome and romantic charmer who sweeps Debra off her feet and pulls her into his web of lies.Dirty John featuring Amanda Peet and Christian Slater has one or more episodes streaming with subscription on Netflix, streaming via tv everywhere with USA (Via Cable/Satellite Provider), and streaming with subscription on fuboTV. It's a crime and drama show with 16 episodes over 2 seasons. Dirty John is still airing with no announced date for the next episode or season. It has a better than average IMDb audience rating of 7.2 (14,178 votes) and was well received by critics."/>
    <s v="2Seasons"/>
    <x v="61"/>
  </r>
  <r>
    <x v="553"/>
    <x v="12"/>
    <x v="2"/>
    <n v="8.3000000000000007"/>
    <n v="76"/>
    <x v="64"/>
    <s v="Invader Zim is an American animated television series created by Jhonen Vasquez. The show premiered on Nickelodeon on March 30, 2001. The series involves an extraterrestrial named Zim who originates from a planet called Irk, and his ongoing mission to conquer and destroy Earth. His various attempts to subjugate and destroy the human race are invariably undermined by some combination of his own ineptitude, his malfunctioning robot servant GIR, and a young paranormal investigator named Dib, one of the very few people attentive enough to be aware of Zim's identity. Invader Zim was targeted at children in their early teens, and met with critical acclaim, but after the first season, the show's ratings began to decline. Before the second season was completed, Nickelodeon cancelled the series, leaving at least twenty-three episodes and a planned television movie series finale unfinished. The show has maintained a cult following since the series' cancellation with a pilot, forty-six aired episodes, and about seventeen episodes that were in production around the time the series was cancelled. On August 19, 2006, all forty-six episodes have aired on television. Nineteen of the episodes are split into two individual stories, each lasting about twelve minutes. There are eight double-length episodes. All of the episodes were directed by Steve Ressel except for the pilot which was directed by Jordan Reichek.Invader ZIM featuring Andy Berman and Richard Steven Horvitz has one or more episodes streaming with subscription on Hulu, available for purchase on iTunes, available for purchase on Google Play, and 3 others. It's an action &amp; adventure and animation show with 47 episodes over 2 seasons. Invader ZIM is no longer running and has no plans to air new episodes or seasons. It has a high IMDb audience rating of 8.3 (19,168 votes) and was very well received by critics."/>
    <s v="2Seasons"/>
    <x v="4"/>
  </r>
  <r>
    <x v="554"/>
    <x v="4"/>
    <x v="0"/>
    <n v="8.1"/>
    <n v="76"/>
    <x v="110"/>
    <s v="Teenager Miles enrolls in boarding school to try to gain a deeper perspective on life. After an unexpected tragedy, Miles and his friends try to make sense of what they have been through.Looking for Alaska featuring Charlie Plummer and Kristine Froseth has one or more episodes streaming with subscription on Hulu, available for purchase on Google Play, available for purchase on Prime Video, and 2 others. It's a drama show with 8 episodes over 1 season. Looking for Alaska is no longer running and has no plans to air new episodes or seasons. It has a high IMDb audience rating of 8.1 (6,337 votes) and was very well received by critics."/>
    <s v="1Season"/>
    <x v="4"/>
  </r>
  <r>
    <x v="555"/>
    <x v="11"/>
    <x v="2"/>
    <n v="8.1"/>
    <n v="76"/>
    <x v="46"/>
    <s v="Once upon a time, the dashing hero, Prince Galavant lost the love of his life, Madalena, to the evil King Richard. Now, our fallen hero is ready to take revenge and restore his “happily ever after.” But it won't be without a few twists and turns along the way in this fairytale musical.Galavant featuring Joshua Sasse and Timothy Omundson has one or more episodes streaming with subscription on Netflix, available for purchase on iTunes, available for purchase on Google Play, and 3 others. It's an action &amp; adventure and comedy show with 18 episodes over 2 seasons. Galavant is no longer running and has no plans to air new episodes or seasons. It has a high IMDb audience rating of 8.1 (13,990 votes) and was very well received by critics."/>
    <s v="2Seasons"/>
    <x v="0"/>
  </r>
  <r>
    <x v="556"/>
    <x v="11"/>
    <x v="0"/>
    <n v="8.3000000000000007"/>
    <n v="76"/>
    <x v="22"/>
    <s v="To prevent Iran from going nuclear, intelligence officer John Tavner must forgo all safety nets and assume a perilous &quot;non-official cover&quot; -- that of a mid-level employee at a Midwestern industrial piping firm.Patriot featuring Michael Dorman and Terry O'Quinn has one or more episodes streaming with subscription on Prime Video. It's an action &amp; adventure and comedy show with 18 episodes over 2 seasons. Patriot is no longer running and has no plans to air new episodes or seasons. It has a high IMDb audience rating of 8.3 (10,595 votes) and was very well received by critics."/>
    <s v="2Seasons"/>
    <x v="3"/>
  </r>
  <r>
    <x v="557"/>
    <x v="3"/>
    <x v="0"/>
    <n v="8.1999999999999993"/>
    <n v="76"/>
    <x v="0"/>
    <s v="17-year-old Joshua &quot;J&quot; Cody moves in with his freewheeling relatives in their Southern California beach town after his mother dies of a heroin overdose. Headed by boot-tough matriarch Janine &quot;Smurf&quot; Cody and her right-hand Baz, who runs the business and calls the shots, the clan also consists of Pope, the oldest and most dangerous of the Cody boys; Craig, the tough and fearless middle son; and Deran, the troubled, suspicious &quot;baby&quot; of the family.Animal Kingdom featuring Finn Cole and Ellen Barkin has one or more episodes streaming with subscription on Prime Video, streaming via tv everywhere with TNT, available for purchase on iTunes, and 5 others. It's a crime and drama show with 49 episodes over 4 seasons. Animal Kingdom is still airing with no announced date for the next episode or season. It has a high IMDb audience rating of 8.2 (22,514 votes)."/>
    <s v="4Seasons"/>
    <x v="128"/>
  </r>
  <r>
    <x v="558"/>
    <x v="17"/>
    <x v="1"/>
    <n v="8.1"/>
    <n v="76"/>
    <x v="1"/>
    <s v="A covert team of special forces operatives risk their lives on undercover missions around the globe, while their wives maintain the homefront, protecting their husbands' secrets.The Unit featuring Max Martini and Scott Foley has one or more episodes streaming with subscription on Hulu, free on IMDb TV, available for purchase on iTunes, and 5 others. It's an action &amp; adventure and drama show with 69 episodes over 4 seasons. The Unit is no longer running and has no plans to air new episodes or seasons. It has a high IMDb audience rating of 8.1 (19,695 votes) and was well received by critics."/>
    <s v="4Seasons"/>
    <x v="17"/>
  </r>
  <r>
    <x v="559"/>
    <x v="21"/>
    <x v="2"/>
    <n v="8.1999999999999993"/>
    <n v="76"/>
    <x v="111"/>
    <s v="Actor Zac Efron journeys around the world with wellness expert Darin Olien in a travel show that explores healthy, sustainable ways to live.Down to Earth with Zac Efron featuring Zac Efron and Darin Olien has one or more episodes streaming with subscription on Netflix. It's a documentary and travel show with 8 episodes over 1 season. Down to Earth with Zac Efron is no longer running and has no plans to air new episodes or seasons. It has a high IMDb audience rating of 8.2 (4,076 votes) and was well received by critics."/>
    <s v="1 Season"/>
    <x v="0"/>
  </r>
  <r>
    <x v="560"/>
    <x v="5"/>
    <x v="0"/>
    <n v="8"/>
    <n v="76"/>
    <x v="0"/>
    <s v="Los Angeles. 1983. A storm is coming and it's name is crack. Set against the infancy of the crack cocaine epidemic and its ultimate radical impact on the culture as we know it, the story follows numerous characters on a violent collision course.Snowfall featuring Damson Idris and Carter Hudson has one or more episodes streaming with subscription on Hulu, available for purchase on iTunes, available for purchase on Google Play, and 4 others. It's a crime and drama show with 30 episodes over 3 seasons. Snowfall is still airing with no announced date for the next episode or season. It has a high IMDb audience rating of 8.0 (9,427 votes) and was well received by critics."/>
    <s v="3Seasons"/>
    <x v="4"/>
  </r>
  <r>
    <x v="561"/>
    <x v="11"/>
    <x v="1"/>
    <n v="7.8"/>
    <n v="76"/>
    <x v="112"/>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Crazy Ex-Girlfriend featuring Rachel Bloom and Donna Lynne Champlin has one or more episodes streaming with subscription on Netflix, available for purchase on iTunes, available for purchase on Google Play, and 3 others. It's a comedy and musical show with 62 episodes over 4 seasons. Crazy Ex-Girlfriend is no longer running and has no plans to air new episodes or seasons. It has a high IMDb audience rating of 7.8 (16,197 votes) and was very well received by critics."/>
    <s v="4Seasons"/>
    <x v="0"/>
  </r>
  <r>
    <x v="562"/>
    <x v="41"/>
    <x v="2"/>
    <n v="7.8"/>
    <n v="76"/>
    <x v="22"/>
    <s v="The story about a blue-collar Boston bar run by former sports star Sam Malone and the quirky and wonderful people who worked and drank there.Cheers featuring Ted Danson and Kirstie Alley has one or more episodes streaming with subscription on Netflix, streaming with subscription on Prime Video, streaming with subscription on Hulu, and 10 others. It's a comedy and drama show with 275 episodes over 11 seasons. Cheers is no longer running and has no plans to air new episodes or seasons. It has a high IMDb audience rating of 7.8 (46,749 votes)."/>
    <s v="11 Seasons"/>
    <x v="20"/>
  </r>
  <r>
    <x v="563"/>
    <x v="23"/>
    <x v="1"/>
    <n v="7.9"/>
    <n v="76"/>
    <x v="1"/>
    <s v="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Chicago Fire featuring Jesse Spencer and Taylor Kinney has one or more episodes streaming with subscription on Hulu, streaming via tv everywhere with NBC (Via Cable/Satellite Provider), free on NBC, and 9 others. It's an action &amp; adventure and drama show with 179 episodes over 8 seasons. Chicago Fire has a new episode airing on November 11th, 2020 (PST). It has a high IMDb audience rating of 7.9 (34,334 votes)."/>
    <s v="8 Seasons"/>
    <x v="43"/>
  </r>
  <r>
    <x v="564"/>
    <x v="12"/>
    <x v="2"/>
    <n v="7.5"/>
    <n v="76"/>
    <x v="1"/>
    <s v="During the mid-22nd century, a century before Captain Kirk's five-year mission, Jonathan Archer captains the United Earth ship Enterprise during the early years of Starfleet, leading up to the Earth-Romulan War and the formation of the Federation.Star Trek: Enterprise featuring Scott Bakula and John Billingsley has one or more episodes streaming with subscription on Netflix, streaming with subscription on Prime Video, streaming with subscription on Hulu, and 5 others. It's an action &amp; adventure and drama show with 99 episodes over 4 seasons. Star Trek: Enterprise is no longer running and has no plans to air new episodes or seasons. It has a better than average IMDb audience rating of 7.5 (44,419 votes) and was met with mixed reviews by critics."/>
    <s v="4 Seasons"/>
    <x v="49"/>
  </r>
  <r>
    <x v="565"/>
    <x v="1"/>
    <x v="2"/>
    <n v="7.2"/>
    <n v="76"/>
    <x v="52"/>
    <s v="Single father George Altman is doing his best to raise his sixteen-year-old daughter Tessa in the big city. When he discovers a box of condoms in her bedroom, though, he decides the time has come to move her to a more wholesome and nurturing environment: the suburbs. But behind the beautiful homes and perfect lawns lurk the Franken-moms, spray tans, nose jobs, and Red Bull-guzzling teens who have nothing in common with Tessa. It’s a whole new world, one that makes George wonder if they haven’t jumped out of the frying pan and into the fire.Suburgatory featuring Jane Levy and Jeremy Sisto has one or more episodes free on CW Seed, available for purchase on Google Play, available for purchase on Prime Video, and 2 others. It's a comedy show with 57 episodes over 3 seasons. Suburgatory is no longer running and has no plans to air new episodes or seasons. It has a better than average IMDb audience rating of 7.2 (30,213 votes) and was very well received by critics."/>
    <s v="3Seasons"/>
    <x v="22"/>
  </r>
  <r>
    <x v="566"/>
    <x v="20"/>
    <x v="0"/>
    <n v="8.1999999999999993"/>
    <n v="76"/>
    <x v="23"/>
    <s v="Irreverent comedy drama which follows the messy lives, loves, delirious highs and inevitable lows of a group of raucous teenage friends in Bristol.Skins featuring Nicholas Hoult and Dev Patel has one or more episodes available for purchase on iTunes, available for purchase on Google Play, available for purchase on Microsoft Store, and 1 other. It's a comedy and drama show with 61 episodes over 7 seasons. Skins is no longer running and has no plans to air new episodes or seasons. It has a high IMDb audience rating of 8.2 (73,217 votes)."/>
    <s v="7Seasons"/>
    <x v="80"/>
  </r>
  <r>
    <x v="567"/>
    <x v="3"/>
    <x v="0"/>
    <n v="7.4"/>
    <n v="76"/>
    <x v="0"/>
    <s v="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Marcella featuring Anna Friel and Nicholas Pinnock has one or more episodes streaming with subscription on Netflix, streaming with subscription on Hoopla, available for purchase on iTunes, and 4 others. It's a crime and drama show with 24 episodes over 3 seasons. Marcella is still airing with no announced date for the next episode or season. It has a better than average IMDb audience rating of 7.4 (21,878 votes) and was well received by critics."/>
    <s v="3Seasons"/>
    <x v="83"/>
  </r>
  <r>
    <x v="568"/>
    <x v="17"/>
    <x v="0"/>
    <n v="8.3000000000000007"/>
    <n v="76"/>
    <x v="12"/>
    <s v="A detective chief inspector from 2006 is investigating a serial killer when he is knocked over by a speeding car. Waking up, he finds himself mysteriously transported back in time to 1973. Initially struggling to come to terms with his situation, he has to come to terms with the old-fashioned technology and attitude of the day, while figuring out how he came to be trapped in the past.Life on Mars featuring John Simm and Philip Glenister has one or more episodes available for purchase on Google Play, available for purchase on Prime Video, and available for purchase on VUDU. It's a crime and drama show with 25 episodes over 2 seasons. Life on Mars is no longer running and has no plans to air new episodes or seasons. It has a high IMDb audience rating of 8.3 (28,281 votes) and was very well received by critics."/>
    <s v="2 Seasons"/>
    <x v="80"/>
  </r>
  <r>
    <x v="569"/>
    <x v="3"/>
    <x v="1"/>
    <n v="6.6"/>
    <n v="76"/>
    <x v="50"/>
    <s v="When Clary Fray's mother has disappeared, Clary joins a band of Shadowhunters; demon killing hunters, and gets caught up in a plan to save the world.Shadowhunters featuring Katherine McNamara and Dominic Sherwood has one or more episodes streaming with subscription on Hulu, free on Freeform, available for purchase on iTunes, and 3 others. It's an action &amp; adventure and drama show with 55 episodes over 3 seasons. Shadowhunters is no longer running and has no plans to air new episodes or seasons. It has an average IMDb audience rating of 6.6 (50,925 votes) and was well received by critics."/>
    <s v="3Seasons"/>
    <x v="17"/>
  </r>
  <r>
    <x v="570"/>
    <x v="14"/>
    <x v="0"/>
    <n v="8.1"/>
    <n v="76"/>
    <x v="23"/>
    <s v="A critical and often humorous look at the upper class, tracking the protagonist’s harrowing odyssey from a deeply traumatic childhood through adult substance abuse and, ultimately, toward recovery.Patrick Melrose featuring Benedict Cumberbatch and Jennifer Jason Leigh has one or more episodes streaming with subscription on Prime Video, streaming on Showtime, streaming with subscription on fuboTV, and 5 others. It's a comedy and drama show with 5 episodes over 1 season. Patrick Melrose is no longer running and has no plans to air new episodes or seasons. It has a high IMDb audience rating of 8.1 (22,953 votes) and was very well received by critics."/>
    <s v="1Season"/>
    <x v="118"/>
  </r>
  <r>
    <x v="571"/>
    <x v="2"/>
    <x v="1"/>
    <n v="7"/>
    <n v="76"/>
    <x v="22"/>
    <s v="Before she was a fashion icon, before her column in the New York Star, before Mr. Big, Carrie Bradshaw was an innocent 16-year-old girl living in suburban Connecticut.The Carrie Diaries featuring AnnaSophia Robb and Austin Butler has one or more episodes free on CW Seed, available for purchase on iTunes, available for purchase on Google Play, and 2 others. It's a comedy and drama show with 26 episodes over 2 seasons. The Carrie Diaries is no longer running and has no plans to air new episodes or seasons. It has a better than average IMDb audience rating of 7.0 (25,592 votes) and was well received by critics."/>
    <s v="2Seasons"/>
    <x v="22"/>
  </r>
  <r>
    <x v="572"/>
    <x v="12"/>
    <x v="1"/>
    <n v="8.5"/>
    <n v="76"/>
    <x v="7"/>
    <s v="Made by Genndy Tartakovsky, this animated series tells the story of a great warrior displaced to the distant future by the evil shape-shifting wizard Aku. The world has become a bleak place under the rule of Aku, segregated into fantastic tribes and ruled by Aku's evil robot warlords. Jack travels this foreign landscape in search of a time portal that can return him to his home time so he can &quot;undo the future that is Aku!&quot;.Samurai Jack featuring Phil LaMarr and Greg Baldwin has one or more episodes streaming with subscription on HBO MAX, streaming via tv everywhere with Adult Swim (Via Cable/Satellite Provider), free on Adult Swim, and 7 others. It's an action &amp; adventure and animation show with 62 episodes over 5 seasons. Samurai Jack is no longer running and has no plans to air new episodes or seasons. It has a high IMDb audience rating of 8.5 (44,206 votes)."/>
    <s v="5Seasons"/>
    <x v="99"/>
  </r>
  <r>
    <x v="573"/>
    <x v="31"/>
    <x v="2"/>
    <n v="7.5"/>
    <n v="76"/>
    <x v="17"/>
    <s v="Wealthy entrepreneur Bruce Wayne and his ward Dick Grayson lead a double life: they are actually crime fighting duo Batman and Robin. A secret Batpole in the Wayne mansion leads to the Batcave, where Police Commissioner Gordon often calls with the latest emergency threatening Gotham City. Racing the the scene of the crime in the Batmobile, Batman and Robin must (with the help of their trusty Bat-utility-belt) thwart the efforts of a variety of master criminals, including The Riddler, The Joker, Catwoman, and The Penguin.Batman featuring Adam West and Burt Ward has one or more episodes available for purchase on iTunes, available for purchase on Google Play, available for purchase on VUDU, and 1 other. It's an action &amp; adventure and comedy show with 120 episodes over 3 seasons. Batman is no longer running and has no plans to air new episodes or seasons. It has a better than average IMDb audience rating of 7.5 (18,393 votes) and was very well received by critics."/>
    <s v="3 Seasons"/>
    <x v="80"/>
  </r>
  <r>
    <x v="574"/>
    <x v="11"/>
    <x v="0"/>
    <n v="7.2"/>
    <n v="76"/>
    <x v="27"/>
    <s v="An action-packed adventure series following a fun-loving, hard living trio of interplanetary bounty hunters (a.k.a. Killjoys) sworn to remain impartial as they chase deadly warrants around the Quad, a system of planets on the brink of revolution.Killjoys featuring Hannah John-Kamen and Aaron Ashmore has one or more episodes streaming via tv everywhere with Syfy, free on Syfy, streaming with subscription on fuboTV, and 6 others. It's an action &amp; adventure and crime show with 50 episodes over 5 seasons. Killjoys is no longer running and has no plans to air new episodes or seasons. It has a better than average IMDb audience rating of 7.2 (19,818 votes) and was very well received by critics."/>
    <s v="5Seasons"/>
    <x v="129"/>
  </r>
  <r>
    <x v="575"/>
    <x v="19"/>
    <x v="1"/>
    <n v="8.1999999999999993"/>
    <n v="76"/>
    <x v="11"/>
    <s v="Rejoin Goku and his friends in a series of cosmic battles! Toei has redubbed, recut, and cleaned up the animation of the original 1989 animated series. The show's story arc has been refined to better follow the comic book series on which it is based. The show also features a new opening and ending. In the series, martial artist Goku, and his various friends, battle increasingly powerful enemies to defend the world against evil. Can Earth's defender defeat demons, aliens, and other villains?Dragon Ball Z Kai featuring Masako Nozawa and Jōji Yanami has one or more episodes streaming via tv everywhere with Adult Swim (Via Cable/Satellite Provider), free on Adult Swim, and available for purchase on Prime Video. It's an action &amp; adventure and animation show with 379 episodes over 7 seasons. Dragon Ball Z Kai is no longer running and has no plans to air new episodes or seasons. It has a high IMDb audience rating of 8.2 (19,474 votes)."/>
    <s v="7Seasons"/>
    <x v="130"/>
  </r>
  <r>
    <x v="576"/>
    <x v="2"/>
    <x v="0"/>
    <n v="8.6"/>
    <n v="76"/>
    <x v="38"/>
    <s v="Bea Smith is locked up while awaiting trial for the attempted murder of her husband and must learn how life works in prison. A modern adaptation and sequel of the iconic Prisoner series.Wentworth featuring Kate Atkinson and Celia Ireland has one or more episodes streaming with subscription on Netflix, streaming with subscription on Hoopla, available for purchase on iTunes, and 3 others. It's a crime and drama show with 87 episodes over 8 seasons. Wentworth has a new episode airing on September 15th, 2020 (PDT). It has a high IMDb audience rating of 8.6 (16,357 votes)."/>
    <s v="8Seasons"/>
    <x v="83"/>
  </r>
  <r>
    <x v="577"/>
    <x v="4"/>
    <x v="0"/>
    <n v="8.1999999999999993"/>
    <n v="76"/>
    <x v="37"/>
    <s v="Halifax, West Yorkshire, England, 1832. Anne Lister attempts to revitalize her inherited home, Shibden Hall. Most notably for the time period, a part of her plan is to help the fate of her own family - by taking a wife.Gentleman Jack featuring Suranne Jones and Sophie Rundle has one or more episodes streaming with subscription on HBO MAX, streaming with subscription on HBO, available for purchase on Google Play, and 2 others. It's a biography and drama show with 8 episodes over 1 season. Gentleman Jack is still airing with no announced date for the next episode or season. It has a high IMDb audience rating of 8.2 (8,040 votes) and was very well received by critics."/>
    <s v="1Season"/>
    <x v="1"/>
  </r>
  <r>
    <x v="578"/>
    <x v="42"/>
    <x v="2"/>
    <n v="8.4"/>
    <n v="76"/>
    <x v="22"/>
    <s v="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M*A*S*H featuring Alan Alda and Mike Farrell has one or more episodes streaming with subscription on Hulu, streaming via tv everywhere with TV Land (Via Cable/Satellite Provider), available for purchase on Google Play, and 2 others. It's a comedy and drama show with 266 episodes over 11 seasons. M*A*S*H is no longer running and has no plans to air new episodes or seasons. It has a high IMDb audience rating of 8.4 (49,267 votes)."/>
    <s v="11 Seasons"/>
    <x v="131"/>
  </r>
  <r>
    <x v="579"/>
    <x v="13"/>
    <x v="2"/>
    <n v="8.6"/>
    <n v="76"/>
    <x v="113"/>
    <s v="Having set off from London, Ewan and Charley ride their bikes cross country through some of the most beautiful, but often dangerous, terrain the world has to offer.Long Way Round featuring Charley Boorman and Ewan McGregor has one or more episodes free on Tubi, available for purchase on iTunes, and available for purchase on Prime Video. It's an action &amp; adventure and documentary show with 11 episodes over 1 season. Long Way Round is no longer running and has no plans to air new episodes or seasons. It has a high IMDb audience rating of 8.6 (11,490 votes)."/>
    <s v="1Season"/>
    <x v="22"/>
  </r>
  <r>
    <x v="580"/>
    <x v="11"/>
    <x v="0"/>
    <n v="7.6"/>
    <n v="76"/>
    <x v="22"/>
    <s v="Looking at the lives of former and current football players, the show follows former superstar Spencer Strasmore as he gets his life on track in retirement while mentoring other current and former players through the daily grind of the business of football.Ballers featuring Dwayne Johnson and Rob Corddry has one or more episodes streaming with subscription on HBO MAX, streaming on HBO, available for purchase on iTunes, and 5 others. It's a comedy and drama show with 58 episodes over 5 seasons. Ballers is no longer running and has no plans to air new episodes or seasons. It has a high IMDb audience rating of 7.6 (37,066 votes) and was well received by critics."/>
    <s v="5Seasons"/>
    <x v="1"/>
  </r>
  <r>
    <x v="581"/>
    <x v="21"/>
    <x v="0"/>
    <n v="8.1999999999999993"/>
    <n v="76"/>
    <x v="61"/>
    <s v="The parallel lives of identical twin brothers Dominick and Thomas Birdsey in an epic story of betrayal, sacrifice and forgiveness set against the backdrop of 20th century America.I Know This Much Is True featuring Mark Ruffalo and Melissa Leo has one or more episodes streaming with subscription on HBO MAX, and streaming on HBO. It's a drama show with 6 episodes over 1 season. I Know This Much Is True is no longer running and has no plans to air new episodes or seasons. It has a high IMDb audience rating of 8.2 (7,519 votes) and was well received by critics."/>
    <s v="1Season"/>
    <x v="1"/>
  </r>
  <r>
    <x v="582"/>
    <x v="19"/>
    <x v="0"/>
    <n v="7.7"/>
    <n v="76"/>
    <x v="22"/>
    <s v="Every day is a matter of life and death in a hectic New York City hospital, but for Nurse Jackie that's the easiest part. Between chronic back pain that won't quit, and a personal life on the constant edge of collapse, it's going to take a white lie here, a bent rule there, and a handful of secret strategies to relieve the pain, and stay one step ahead of total disaster.Nurse Jackie featuring Edie Falco and Paul Schulze has one or more episodes streaming with subscription on Netflix, available for purchase on iTunes, available for purchase on Google Play, and 4 others. It's a comedy and drama show with 80 episodes over 7 seasons. Nurse Jackie is no longer running and has no plans to air new episodes or seasons. It has a high IMDb audience rating of 7.7 (24,255 votes) and was well received by critics."/>
    <s v="7Seasons"/>
    <x v="0"/>
  </r>
  <r>
    <x v="583"/>
    <x v="2"/>
    <x v="1"/>
    <n v="7.7"/>
    <n v="76"/>
    <x v="6"/>
    <s v="In Southern California, a beachfront property was seized and turned into a residence for undercover cops. They are all top agents of the DEA, FBI, and Customs and they are living in this house unofficially known as &quot;Graceland&quot;. Coming of a new graduating at the top of his class, FBI rookie, Mike Warren, could make the life of a legendary FBI agent Paul Briggs and the others, more complicated or it could reveal the truth. It is based upon actual events.Graceland featuring Daniel Sunjata and Aaron Tveit has one or more episodes streaming with subscription on Hulu, free on IMDb TV, available for purchase on iTunes, and 4 others. It's an action &amp; adventure and crime show with 38 episodes over 3 seasons. Graceland is no longer running and has no plans to air new episodes or seasons. It has a high IMDb audience rating of 7.7 (15,723 votes) and was well received by critics."/>
    <s v="3Seasons"/>
    <x v="17"/>
  </r>
  <r>
    <x v="584"/>
    <x v="3"/>
    <x v="2"/>
    <n v="7.4"/>
    <n v="76"/>
    <x v="4"/>
    <s v="In a world where superheroes have been real for decades, an accountant with zero powers comes to realize his city is owned by a super villain. As he struggles to uncover this conspiracy, he falls in league with a strange blue superhero.The Tick featuring Peter Serafinowicz and Griffin Newman has one or more episodes streaming with subscription on Prime Video, and available for purchase on iTunes. It's an action &amp; adventure and comedy show with 22 episodes over 2 seasons. The Tick is no longer running and has no plans to air new episodes or seasons. It has a better than average IMDb audience rating of 7.4 (14,793 votes) and was very well received by critics."/>
    <s v="2Seasons"/>
    <x v="3"/>
  </r>
  <r>
    <x v="585"/>
    <x v="43"/>
    <x v="0"/>
    <n v="8.4"/>
    <n v="76"/>
    <x v="0"/>
    <s v="Highly skilled Detective Inspector Jane Tennison battles to prove herself in a male dominated world.Prime Suspect featuring Helen Mirren and Tom Bell has one or more episodes streaming with subscription on Hulu, streaming with subscription on Acorn TV, streaming on BritBox, and 2 others. It's a crime and drama show with 15 episodes over 7 seasons. Prime Suspect is no longer running and has no plans to air new episodes or seasons. It has a high IMDb audience rating of 8.4 (6,439 votes) and was very well received by critics."/>
    <s v="7Seasons"/>
    <x v="132"/>
  </r>
  <r>
    <x v="586"/>
    <x v="15"/>
    <x v="1"/>
    <n v="8.1"/>
    <n v="76"/>
    <x v="12"/>
    <s v="Theorizing that one could time travel within his own lifetime, Dr. Sam Beckett stepped into the Quantum Leap accelerator and vanished... He woke to find himself trapped in the past, facing mirror images that were not his own and driven by an unknown force to change history for the better. His only guide on this journey is Al, an observer from his own time, who appears in the form of a hologram that only Sam can see and hear. And so Dr. Beckett finds himself leaping from life to life, striving to put right what once went wrong and hoping each time that his next leap will be the leap home.Quantum Leap featuring Scott Bakula and Dean Stockwell has one or more episodes streaming with subscription on Hulu, free on NBC, available for purchase on iTunes, and 5 others. It's an action &amp; adventure and comedy show with 97 episodes over 5 seasons. Quantum Leap is no longer running and has no plans to air new episodes or seasons. It has a high IMDb audience rating of 8.1 (25,556 votes)."/>
    <s v="5 Seasons"/>
    <x v="17"/>
  </r>
  <r>
    <x v="587"/>
    <x v="11"/>
    <x v="1"/>
    <n v="8.1"/>
    <n v="76"/>
    <x v="3"/>
    <s v="With magic long since lost to England, two men are destined to bring it back; the reclusive Mr. Norrell and daring novice Jonathan Strange. So begins a dangerous battle between two great minds.Jonathan Strange &amp; Mr Norrell featuring Bertie Carvel and Eddie Marsan has one or more episodes streaming with subscription on Netflix, streaming with subscription on Hoopla, available for purchase on iTunes, and 4 others. It's a drama and fantasy show with 7 episodes over 1 season. Jonathan Strange &amp; Mr Norrell is no longer running and has no plans to air new episodes or seasons. It has a high IMDb audience rating of 8.1 (11,763 votes) and was very well received by critics."/>
    <s v="1Season"/>
    <x v="83"/>
  </r>
  <r>
    <x v="588"/>
    <x v="7"/>
    <x v="1"/>
    <n v="8.1"/>
    <n v="76"/>
    <x v="11"/>
    <s v="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he Seven Deadly Sins featuring Yuki Kaji and Aoi Yuki has one or more episodes streaming with subscription on Netflix, and available for purchase on iTunes. It's an action &amp; adventure and animation show with 91 episodes over 4 seasons. The Seven Deadly Sins is still airing with no announced date for the next episode or season. It has a high IMDb audience rating of 8.1 (19,903 votes)."/>
    <s v="4Seasons"/>
    <x v="0"/>
  </r>
  <r>
    <x v="589"/>
    <x v="21"/>
    <x v="0"/>
    <n v="7.6"/>
    <n v="75"/>
    <x v="16"/>
    <s v="A wary CIA officer investigates a charismatic man who sparks a spiritual movement and stirs political unrest. Who exactly is he? And what does he want?Messiah featuring Michelle Monaghan and Mehdi Dehbi has one or more episodes streaming with subscription on Netflix. It's a drama and mystery show with 10 episodes over 1 season. Messiah is no longer running and has no plans to air new episodes or seasons. It has a high IMDb audience rating of 7.6 (34,816 votes) and was not well received by critics."/>
    <s v="1Season"/>
    <x v="0"/>
  </r>
  <r>
    <x v="590"/>
    <x v="3"/>
    <x v="2"/>
    <n v="7.8"/>
    <n v="75"/>
    <x v="22"/>
    <s v="Sam Fox is a single, working actor with no filter trying to raise her three daughters – Max, Frankie and Duke – in Los Angeles. She is mom, dad, referee and the cops.Better Things featuring Pamela Adlon and Celia Imrie has one or more episodes streaming with subscription on Hulu, available for purchase on iTunes, available for purchase on Google Play, and 4 others. It's a comedy and drama show with 42 episodes over 4 seasons. Better Things is still airing with no announced date for the next episode or season. It has a high IMDb audience rating of 7.8 (11,588 votes) and was very well received by critics."/>
    <s v="4Seasons"/>
    <x v="4"/>
  </r>
  <r>
    <x v="591"/>
    <x v="23"/>
    <x v="0"/>
    <n v="8.1"/>
    <n v="75"/>
    <x v="7"/>
    <s v="Black Dynamite is an American animated television series based on the 2009 film of the same name, although the series follows a separate continuity, with some back-references to the film. The series was announced shortly after the release of the film, the 10-minute pilot episode was released on Adult Swim Video on August 8, 2011, and the full series premiered on Cartoon Network's late night programming block, Adult Swim, on July 15, 2012. Michael Jai White, Byron Minns, Tommy Davidson and Kym Whitley reprise their film roles as Black Dynamite, Bullhorn, Cream Corn and Honeybee, respectively.Black Dynamite featuring Michael Jai White and Byron Minns has one or more episodes streaming with subscription on HBO MAX, streaming via tv everywhere with Adult Swim (Via Cable/Satellite Provider), free on Adult Swim, and 7 others. It's an action &amp; adventure and animation show with 19 episodes over 2 seasons. Black Dynamite is no longer running and has no plans to air new episodes or seasons. It has a high IMDb audience rating of 8.1 (3,850 votes) and was very well received by critics."/>
    <s v="2Seasons"/>
    <x v="99"/>
  </r>
  <r>
    <x v="592"/>
    <x v="23"/>
    <x v="4"/>
    <n v="8.3000000000000007"/>
    <n v="75"/>
    <x v="54"/>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Kuroko's Basketball featuring Kensho Ono and Yuki Ono has one or more episodes free on Crunchyroll. It's an animation and anime show with 125 episodes over 3 seasons. Kuroko's Basketball is no longer running and has no plans to air new episodes or seasons. It has a high IMDb audience rating of 8.3 (4,688 votes)."/>
    <s v="3 Seasons"/>
    <x v="22"/>
  </r>
  <r>
    <x v="593"/>
    <x v="7"/>
    <x v="1"/>
    <n v="7.3"/>
    <n v="75"/>
    <x v="39"/>
    <s v="A group of librarians set off on adventures in an effort to save mysterious, ancient artifacts. Based on the series of &quot;The Librarian&quot; movies.The Librarians featuring Rebecca Romijn and Noah Wyle has one or more episodes streaming with subscription on Hulu, streaming with subscription on Hoopla, available for purchase on iTunes, and 5 others. It's an action &amp; adventure and comedy show with 44 episodes over 4 seasons. The Librarians is no longer running and has no plans to air new episodes or seasons. It has a better than average IMDb audience rating of 7.3 (18,638 votes) and was very well received by critics."/>
    <s v="4Seasons"/>
    <x v="117"/>
  </r>
  <r>
    <x v="594"/>
    <x v="21"/>
    <x v="0"/>
    <n v="7.4"/>
    <n v="75"/>
    <x v="102"/>
    <s v="Gripping examination of the unsolved crimes of the Golden State Killer who terrorized California in the 1970s and 1980s.I'll Be Gone in the Dark featuring Amy Ryan has one or more episodes streaming with subscription on HBO MAX, and streaming on HBO. It's a crime and documentary show with 6 episodes over 1 season. I'll Be Gone in the Dark is no longer running and has no plans to air new episodes or seasons. It has a better than average IMDb audience rating of 7.4 (3,244 votes) and was very well received by critics."/>
    <s v="1 Season"/>
    <x v="1"/>
  </r>
  <r>
    <x v="595"/>
    <x v="21"/>
    <x v="0"/>
    <n v="7.7"/>
    <n v="75"/>
    <x v="22"/>
    <s v="Rob Brooks, a female record store owner in the rapidly gentrified neighborhood of Crown Heights, Brooklyn revisit past relationships through music and pop culture, while trying to get over her one true love.High Fidelity featuring Zoë Kravitz and David H. Holmes has one or more episodes streaming with subscription on Hulu. It's a comedy and drama show with 10 episodes over 1 season. High Fidelity is still airing with no announced date for the next episode or season. It has a high IMDb audience rating of 7.7 (5,523 votes) and was well received by critics."/>
    <s v="1Season"/>
    <x v="4"/>
  </r>
  <r>
    <x v="596"/>
    <x v="1"/>
    <x v="1"/>
    <n v="7.3"/>
    <n v="75"/>
    <x v="3"/>
    <s v="After her mother dies in a fire, Cassie Blake moves in with her grandmother in the beautiful small town of Chance Harbor, Washington. As Cassie gets to know her high school classmates, including sweet-natured Diana and her boyfriend Adam, brooding loner Nick, mean-girl Faye and her sidekick Melissa, strange and frightening things begin to happen.They are all descended from powerful witches, and they've been waiting for Cassie to join them and complete a new generation of the Secret Circle. What Cassie and the others don't yet know is that darker powers are at play, powers that might be linked to the adults in the town - and that Cassie's mother's death might not have been an accident.The Secret Circle featuring Britt Robertson and Phoebe Tonkin has one or more episodes free on CW Seed. It's a drama and fantasy show with 22 episodes over 1 season. The Secret Circle is no longer running and has no plans to air new episodes or seasons. It has a better than average IMDb audience rating of 7.3 (44,692 votes) and was met with mixed reviews by critics."/>
    <s v="1Season"/>
    <x v="22"/>
  </r>
  <r>
    <x v="597"/>
    <x v="4"/>
    <x v="1"/>
    <n v="7.5"/>
    <n v="75"/>
    <x v="38"/>
    <s v="Dex Parios is a strong, assertive, and unapologetically sharp-witted Army veteran working as a P.I. in Portland, Oregon. With a complicated personal history and only herself to rely on, she solves other people’s messes with a blind eye toward her own.Stumptown featuring Cobie Smulders and Jake Johnson has one or more episodes streaming with subscription on Hulu, streaming via tv everywhere with ABC (Via Cable/Satellite Provider), free on ABC, and 3 others. It's a crime and drama show with 18 episodes over 1 season. Stumptown is still airing with no announced date for the next episode or season. It has a better than average IMDb audience rating of 7.5 (7,699 votes) and was very well received by critics."/>
    <s v="1Season"/>
    <x v="24"/>
  </r>
  <r>
    <x v="598"/>
    <x v="7"/>
    <x v="0"/>
    <n v="8.1999999999999993"/>
    <n v="75"/>
    <x v="19"/>
    <s v="Three friends in San Francisco who explore the fun and sometimes overwhelming options available to a new generation of gay men.Looking featuring Jonathan Groff and Frankie J. Alvarez has one or more episodes streaming with subscription on HBO MAX, streaming with subscription on HBO, available for purchase on iTunes, and 5 others. It's a comedy and drama show with 18 episodes over 2 seasons. Looking is no longer running and has no plans to air new episodes or seasons. It has a high IMDb audience rating of 8.2 (15,648 votes) and was very well received by critics."/>
    <s v="2Seasons"/>
    <x v="1"/>
  </r>
  <r>
    <x v="599"/>
    <x v="8"/>
    <x v="1"/>
    <n v="7.9"/>
    <n v="75"/>
    <x v="60"/>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quot;The staircase&quot; is an engrossing look at contemporary American justice that features more twists than a legal bestseller.The Staircase featuring Michael Peterson and David Rudolf has one or more episodes streaming with subscription on Netflix. It's a crime and documentary show with 13 episodes over 1 season. The Staircase is no longer running and has no plans to air new episodes or seasons. It has a high IMDb audience rating of 7.9 (17,173 votes) and was very well received by critics."/>
    <s v="1Season"/>
    <x v="0"/>
  </r>
  <r>
    <x v="600"/>
    <x v="14"/>
    <x v="1"/>
    <n v="7.2"/>
    <n v="75"/>
    <x v="2"/>
    <s v="Set in a ruined medieval city called Dreamland, Disenchantment follows the grubby adventures of a hard-drinking princess, her feisty elf companion and her personal demon.Disenchantment featuring Abbi Jacobson and Eric André has one or more episodes streaming with subscription on Netflix. It's an action &amp; adventure and animation show with 20 episodes over 1 season. Disenchantment is still airing with no announced date for the next episode or season. It has a better than average IMDb audience rating of 7.2 (41,363 votes) and was well received by critics."/>
    <s v="1Season"/>
    <x v="0"/>
  </r>
  <r>
    <x v="601"/>
    <x v="4"/>
    <x v="0"/>
    <n v="7.1"/>
    <n v="75"/>
    <x v="13"/>
    <s v="When everyone else mysteriously vanishes from their wealthy town, the teen residents of West Ham must forge their own society to survive.The Society featuring Kathryn Newton and Gideon Adlon has one or more episodes streaming with subscription on Netflix. It's a drama and fantasy show with 10 episodes over 1 season. The Society is no longer running and has no plans to air new episodes or seasons. It has a better than average IMDb audience rating of 7.1 (17,310 votes) and was well received by critics."/>
    <s v="1Season"/>
    <x v="0"/>
  </r>
  <r>
    <x v="602"/>
    <x v="3"/>
    <x v="2"/>
    <n v="8.1999999999999993"/>
    <n v="75"/>
    <x v="41"/>
    <s v="In 1935, financially strapped widow Louisa Durrell, whose life has fallen apart, decides to move from England, with her four children (three sons, one daughter), to the island of Corfu, Greece. Once there, the family moves into a dilapidated old house that has no electricity and that is crumbling apart. But life on Corfu is cheap, it's an earthly paradise, and the Durrells proceed to forge their new existence, with all its challenges, adventures, and forming relationships.The Durrells featuring Keeley Hawes and Milo Parker has one or more episodes streaming with subscription on Prime Video, available for purchase on iTunes, available for purchase on Google Play, and 3 others. It's a biography and comedy show with 26 episodes over 4 seasons. The Durrells is no longer running and has no plans to air new episodes or seasons. It has a high IMDb audience rating of 8.2 (7,090 votes) and was very well received by critics."/>
    <s v="4Seasons"/>
    <x v="3"/>
  </r>
  <r>
    <x v="603"/>
    <x v="14"/>
    <x v="2"/>
    <n v="8.6"/>
    <n v="75"/>
    <x v="7"/>
    <s v="Fearless, free-spirited Hilda finds new friends, adventure and magical creatures when she leaves her enchanted forest home and journeys to the city.Hilda featuring Bella Ramsey and Ameerah Falzon-Ojo has one or more episodes streaming with subscription on Netflix. It's an action &amp; adventure and animation show with 13 episodes over 1 season. Hilda is still airing with no announced date for the next episode or season. It has a high IMDb audience rating of 8.6 (5,479 votes) and was very well received by critics."/>
    <s v="1Season"/>
    <x v="0"/>
  </r>
  <r>
    <x v="604"/>
    <x v="14"/>
    <x v="3"/>
    <n v="7.7"/>
    <n v="75"/>
    <x v="64"/>
    <s v="In this reboot of the '80s series, a magic sword transforms an orphan girl into warrior She-Ra, who unites a rebellion to fight against evil.She-Ra and the Princesses of Power featuring Aimee Carrero and Karen Fukuhara has one or more episodes streaming with subscription on Netflix, available for purchase on Prime Video, and available for purchase on VUDU. It's an action &amp; adventure and animation show with 59 episodes over 5 seasons. She-Ra and the Princesses of Power is no longer running and has no plans to air new episodes or seasons. It has a high IMDb audience rating of 7.7 (8,884 votes) and was very well received by critics."/>
    <s v="5Seasons"/>
    <x v="0"/>
  </r>
  <r>
    <x v="605"/>
    <x v="19"/>
    <x v="1"/>
    <n v="7.6"/>
    <n v="75"/>
    <x v="17"/>
    <s v="The adventures of a present-day, multinational exploration team traveling on the Ancient spaceship Destiny many billions of light years distant from the Milky Way Galaxy. They evacuated there and are now trying to figure out a way to return to Earth, while simultaneously trying to explore and to survive in their unknown area of the universe.Stargate Universe featuring Robert Carlyle and Louis Ferreira has one or more episodes streaming with subscription on Hulu, available for purchase on iTunes, available for purchase on Google Play, and 2 others. It's an action &amp; adventure and drama show with 40 episodes over 2 seasons. Stargate Universe is no longer running and has no plans to air new episodes or seasons. It has a high IMDb audience rating of 7.6 (46,810 votes) and was well received by critics."/>
    <s v="2 Seasons"/>
    <x v="4"/>
  </r>
  <r>
    <x v="606"/>
    <x v="6"/>
    <x v="2"/>
    <n v="8.4"/>
    <n v="75"/>
    <x v="59"/>
    <s v="Two bored groundskeepers, Mordecai (a six-foot-tall blue jay) and Rigby (a hyperactive raccoon) are best friends who spend their days trying to entertain themselves by any means necessary, much to the displeasure of their boss. Their everyday pursuits often lead to things spiraling out of control and into the surreal.Regular Show featuring J.G. Quintel and William Salyers has one or more episodes streaming with subscription on HBO MAX, streaming with subscription on Hulu, free on Cartoon Network, and 5 others. It's an action &amp; adventure and animation show with 263 episodes over 8 seasons. Regular Show is no longer running and has no plans to air new episodes or seasons. It has a high IMDb audience rating of 8.4 (28,491 votes)."/>
    <s v="8Seasons"/>
    <x v="2"/>
  </r>
  <r>
    <x v="607"/>
    <x v="20"/>
    <x v="3"/>
    <n v="7.9"/>
    <n v="75"/>
    <x v="7"/>
    <s v="Each day, two kindhearted suburban stepbrothers on summer vacation embark on some grand new project, which annoys their controlling sister, Candace, who tries to bust them. Meanwhile, their pet platypus plots against evil Dr. Doofenshmirtz.Phineas and Ferb featuring Vincent Martella and Thomas Brodie-Sangster has one or more episodes streaming with subscription on Disney+, available for purchase on Google Play, available for purchase on Prime Video, and 1 other. It's an action &amp; adventure and animation show with 248 episodes over 4 seasons. Phineas and Ferb is no longer running and has no plans to air new episodes or seasons. It has a high IMDb audience rating of 7.9 (33,091 votes)."/>
    <s v="4 Seasons"/>
    <x v="14"/>
  </r>
  <r>
    <x v="608"/>
    <x v="0"/>
    <x v="0"/>
    <n v="7.7"/>
    <n v="75"/>
    <x v="26"/>
    <s v="Zombies are rampaging throughout Britain. Blissfully unaware of gory events outside, the Big Brother housemates are in for the ultimate eviction night...Dead Set featuring Kevin Eldon and Beth Cordingly has one or more episodes streaming with subscription on Netflix, and available for purchase on Prime Video. It's a comedy and drama show with 10 episodes over 2 seasons. Dead Set is no longer running and has no plans to air new episodes or seasons. It has a high IMDb audience rating of 7.7 (18,178 votes) and was very well received by critics."/>
    <s v="2Seasons"/>
    <x v="0"/>
  </r>
  <r>
    <x v="609"/>
    <x v="21"/>
    <x v="0"/>
    <n v="9"/>
    <n v="75"/>
    <x v="22"/>
    <s v="Desperate to escape from his emotional baggage and the heavy responsibility he’s had all his life, a psychiatric ward worker begins to heal with help from the unexpected—a woman who writes fairy tales but doesn’t believe in them.It's Okay to Not Be Okay featuring Kim Soo-hyun and Seo Ye-ji has one or more episodes streaming with subscription on Netflix. It's a comedy and drama show with 16 episodes over 1 season. It's Okay to Not Be Okay is no longer running and has no plans to air new episodes or seasons. It has a high IMDb audience rating of 9.0 (4,163 votes)."/>
    <s v="1Season"/>
    <x v="0"/>
  </r>
  <r>
    <x v="610"/>
    <x v="23"/>
    <x v="0"/>
    <n v="7.3"/>
    <n v="75"/>
    <x v="22"/>
    <s v="The assorted humiliations, disasters and rare triumphs of four very different twenty-something girls: Hannah, an aspiring writer; Marnie, an art gallery assistant and cousins Jessa and Shoshanna.Girls featuring Lena Dunham and Allison Williams has one or more episodes streaming with subscription on HBO MAX, streaming on HBO, available for purchase on iTunes, and 4 others. It's a comedy and drama show with 62 episodes over 6 seasons. Girls is no longer running and has no plans to air new episodes or seasons. It has a better than average IMDb audience rating of 7.3 (64,257 votes) and was very well received by critics."/>
    <s v="6Seasons"/>
    <x v="1"/>
  </r>
  <r>
    <x v="611"/>
    <x v="5"/>
    <x v="1"/>
    <n v="7.8"/>
    <n v="75"/>
    <x v="23"/>
    <s v="Maddie, a persona shifting con-artist who is as beautiful as she is dangerous, leaves her unwitting victims tormented when they realize they have been used and robbed of everything – including their hearts. But things get complicated when her former targets, Ezra, Richard, and Jules team up to track her down.Imposters featuring Inbar Lavi and Rob Heaps has one or more episodes streaming with subscription on Netflix, available for purchase on iTunes, available for purchase on Google Play, and 3 others. It's a comedy and drama show with 20 episodes over 2 seasons. Imposters is no longer running and has no plans to air new episodes or seasons. It has a high IMDb audience rating of 7.8 (9,599 votes) and was very well received by critics."/>
    <s v="2Seasons"/>
    <x v="0"/>
  </r>
  <r>
    <x v="612"/>
    <x v="4"/>
    <x v="0"/>
    <n v="7.6"/>
    <n v="75"/>
    <x v="12"/>
    <s v="Explore an aspirational world where NASA and the space program remained a priority and a focal point of our hopes and dreams as told through the lives of NASA astronauts, engineers, and their families.For All Mankind featuring Joel Kinnaman and Michael Dorman has one or more episodes streaming with subscription on Apple TV+. It's a drama and fantasy show with 10 episodes over 1 season. For All Mankind is still airing with no announced date for the next episode or season. It has a high IMDb audience rating of 7.6 (10,076 votes) and was well received by critics."/>
    <s v="1Season"/>
    <x v="52"/>
  </r>
  <r>
    <x v="613"/>
    <x v="19"/>
    <x v="2"/>
    <n v="7.5"/>
    <n v="75"/>
    <x v="55"/>
    <s v="The daily mishaps of a married woman and her semi-dysfunctional family and their attempts to survive life in general in the city of Orson, Indiana.The Middle featuring Patricia Heaton and Neil Flynn has one or more episodes streaming with subscription on Hulu, streaming via tv everywhere with Freeform, streaming with subscription on fuboTV, and 4 others. It's a comedy and family show with 217 episodes over 9 seasons. The Middle is no longer running and has no plans to air new episodes or seasons. It has a better than average IMDb audience rating of 7.5 (44,008 votes)."/>
    <s v="9 Seasons"/>
    <x v="113"/>
  </r>
  <r>
    <x v="614"/>
    <x v="24"/>
    <x v="0"/>
    <n v="8.1999999999999993"/>
    <n v="75"/>
    <x v="37"/>
    <s v="Set in 1985, the miniseries has at its core the story of two couples whose relationships dissolve amidst the backdrop of Reagan era politics, the spreading AIDS epidemic, and a rapidly changing social and political climate.Angels in America featuring Al Pacino and Meryl Streep has one or more episodes streaming with subscription on HBO MAX, streaming with subscription on HBO, available for purchase on iTunes, and 3 others. It's a drama and fantasy show with 6 episodes over 1 season. Angels in America is no longer running and has no plans to air new episodes or seasons. It has a high IMDb audience rating of 8.2 (25,590 votes) and was very well received by critics."/>
    <s v="1Season"/>
    <x v="1"/>
  </r>
  <r>
    <x v="615"/>
    <x v="27"/>
    <x v="1"/>
    <n v="8.1"/>
    <n v="75"/>
    <x v="114"/>
    <s v="Set in the world of fashion and PR, immature fun-loving mother Edina Monsoon and her best friend Patsy drive Eddie's sensible daughter, Saffron, up the wall with their constant drug abuse and outrageous selfishness. Numerous in-jokes and heavy doses of cruel humour have made this series a cult hit in the UK and abroad.Absolutely Fabulous featuring Jennifer Saunders and Joanna Lumley has one or more episodes streaming with subscription on Hulu, streaming on BritBox, streaming with subscription on Hoopla, and 5 others. It's a comedy show with 40 episodes over 6 seasons. Absolutely Fabulous is no longer running and has no plans to air new episodes or seasons. It has a high IMDb audience rating of 8.1 (17,720 votes) and was very well received by critics."/>
    <s v="6 Seasons"/>
    <x v="133"/>
  </r>
  <r>
    <x v="616"/>
    <x v="4"/>
    <x v="0"/>
    <n v="8"/>
    <n v="75"/>
    <x v="115"/>
    <s v="The story of a world-famous televangelist family with a history of deviance, greed and, yes, charitable work, all in the name of Jesus.The Righteous Gemstones featuring John Goodman and Danny McBride has one or more episodes streaming with subscription on HBO MAX, streaming on HBO, available for purchase on Google Play, and 2 others. It's a comedy show with 9 episodes over 1 season. The Righteous Gemstones is still airing with no announced date for the next episode or season. It has a high IMDb audience rating of 8.0 (11,030 votes) and was well received by critics."/>
    <s v="1Season"/>
    <x v="1"/>
  </r>
  <r>
    <x v="617"/>
    <x v="1"/>
    <x v="0"/>
    <n v="8.5"/>
    <n v="75"/>
    <x v="1"/>
    <s v="Spartacus: Gods of the Arena is a Starz television mini-series and prequel to Spartacus, which premiered January 21, 2011. The series follows the character Gannicus, the first gladiator representing Lentulus Batiatus to become Champion of Capua.Spartacus: Gods of the Arena has one or more episodes available for purchase on Google Play. It's an action &amp; adventure and biography show with 6 episodes over 1 season. Spartacus: Gods of the Arena is no longer running and has no plans to air new episodes or seasons. It has a high IMDb audience rating of 8.5 (124,047 votes) and was met with mixed reviews by critics."/>
    <s v="1Season"/>
    <x v="80"/>
  </r>
  <r>
    <x v="618"/>
    <x v="16"/>
    <x v="2"/>
    <n v="8.1999999999999993"/>
    <n v="75"/>
    <x v="64"/>
    <s v="The bizarre misadventures of a cowardly dog named Courage and his elderly owners in a farmhouse in Nowhere, Kansas.Courage the Cowardly Dog featuring Thea White and Marty Grabstein has one or more episodes streaming with subscription on Hoopla, available for purchase on iTunes, available for purchase on Google Play, and 3 others. It's an action &amp; adventure and animation show with 117 episodes over 4 seasons. Courage the Cowardly Dog is no longer running and has no plans to air new episodes or seasons. It has a high IMDb audience rating of 8.2 (36,870 votes)."/>
    <s v="4Seasons"/>
    <x v="124"/>
  </r>
  <r>
    <x v="619"/>
    <x v="19"/>
    <x v="2"/>
    <n v="8.1"/>
    <n v="75"/>
    <x v="23"/>
    <s v="Nothing delights Emma more than meddling in the love lives of others. But when she takes protege Harriet Smith under her wing, her plans can only end in disaster...Emma featuring Romola Garai and Michael Gambon has one or more episodes streaming with subscription on HBO MAX, streaming on BritBox, available for purchase on Prime Video, and 1 other. It's a comedy and drama show with 4 episodes over 1 season. Emma is no longer running and has no plans to air new episodes or seasons. It has a high IMDb audience rating of 8.1 (14,880 votes) and was well received by critics."/>
    <s v="1Season"/>
    <x v="134"/>
  </r>
  <r>
    <x v="620"/>
    <x v="23"/>
    <x v="2"/>
    <n v="7.4"/>
    <n v="75"/>
    <x v="68"/>
    <s v="Obstetrician/gynecologist Mindy Lahiri tries to balance her personal and professional life, surrounded by quirky co-workers in a small medical practice in New York City.The Mindy Project featuring Mindy Kaling and Ed Weeks has one or more episodes streaming with subscription on Hulu, available for purchase on iTunes, available for purchase on Google Play, and 3 others. It's a comedy show with 118 episodes over 6 seasons. The Mindy Project is no longer running and has no plans to air new episodes or seasons. It has a better than average IMDb audience rating of 7.4 (28,124 votes) and was well received by critics."/>
    <s v="6Seasons"/>
    <x v="4"/>
  </r>
  <r>
    <x v="621"/>
    <x v="17"/>
    <x v="2"/>
    <n v="8.1999999999999993"/>
    <n v="75"/>
    <x v="22"/>
    <s v="A behind-the-scenes look at a fictional sketch-comedy TV show.Studio 60 on the Sunset Strip featuring Matthew Perry and Amanda Peet has one or more episodes available for purchase on iTunes, available for purchase on Google Play, available for purchase on Prime Video, and 2 others. It's a comedy and drama show with 22 episodes over 1 season. Studio 60 on the Sunset Strip is no longer running and has no plans to air new episodes or seasons. It has a high IMDb audience rating of 8.2 (22,880 votes) and was well received by critics."/>
    <s v="1Season"/>
    <x v="80"/>
  </r>
  <r>
    <x v="622"/>
    <x v="14"/>
    <x v="1"/>
    <n v="8.1"/>
    <n v="75"/>
    <x v="36"/>
    <s v="Dr. Max Goodwin, the hospital's newest medical director, sets out to tear up the bureaucracy and provide exceptional care.New Amsterdam featuring Ryan Eggold and Janet Montgomery has one or more episodes streaming with subscription on Hulu, streaming via tv everywhere with NBC (Via Cable/Satellite Provider), free on NBC, and 7 others. It's a drama show with 40 episodes over 2 seasons. New Amsterdam is still airing with no announced date for the next episode or season. It has a high IMDb audience rating of 8.1 (15,144 votes) and was not well received by critics."/>
    <s v="2 Seasons"/>
    <x v="43"/>
  </r>
  <r>
    <x v="623"/>
    <x v="10"/>
    <x v="2"/>
    <n v="7.4"/>
    <n v="75"/>
    <x v="28"/>
    <s v="After the death of his wife, world-class neurosurgeon Dr. Andrew Brown leaves Manhattan and moves his family to the small town of Everwood, Colorado. There he becomes a small-town doctor and learns parenting on the fly as he raises his talented but resentful 15-year-old son Ephram and his 9-year-old daughter Delia.Everwood featuring Gregory Smith and Treat Williams has one or more episodes free on IMDb TV, available for purchase on iTunes, available for purchase on Google Play, and 4 others. It's a drama and romance show with 89 episodes over 4 seasons. Everwood is no longer running and has no plans to air new episodes or seasons. It has a better than average IMDb audience rating of 7.4 (12,207 votes) and was very well received by critics."/>
    <s v="4Seasons"/>
    <x v="22"/>
  </r>
  <r>
    <x v="624"/>
    <x v="3"/>
    <x v="2"/>
    <n v="7.4"/>
    <n v="75"/>
    <x v="15"/>
    <s v="In a future where the elite inhabit an island paradise far from the crowded slums, you get one chance to join the 3% saved from squalor.3% featuring Bianca Comparato and Vaneza Oliveira has one or more episodes streaming with subscription on Netflix. It's an action &amp; adventure and drama show with 34 episodes over 4 seasons. 3% is no longer running and has no plans to air new episodes or seasons. It has a better than average IMDb audience rating of 7.4 (20,437 votes) and was not well received by critics."/>
    <s v="4Seasons"/>
    <x v="0"/>
  </r>
  <r>
    <x v="625"/>
    <x v="4"/>
    <x v="0"/>
    <n v="8.6999999999999993"/>
    <n v="75"/>
    <x v="11"/>
    <s v="The one adored as the mother is not the real parent. The people living here together are not actual siblings. The Gracefield House is where orphaned children live. An irreplaceable home where 38 siblings and Mom live happy lives, even with no blood relations.  However, their everyday life suddenly came to an abrupt end one day...The Promised Neverland featuring Sumire Morohoshi and Maaya Uchida has one or more episodes streaming with subscription on Netflix, streaming with subscription on HBO MAX, streaming with subscription on Hulu, and 2 others. It's an action &amp; adventure and animation show with 12 episodes over 1 season. The Promised Neverland is still airing with no announced date for the next episode or season. It has a high IMDb audience rating of 8.7 (13,006 votes)."/>
    <s v="1 Season"/>
    <x v="29"/>
  </r>
  <r>
    <x v="626"/>
    <x v="13"/>
    <x v="1"/>
    <n v="8.3000000000000007"/>
    <n v="75"/>
    <x v="46"/>
    <s v="The Mighty Boosh is a British comedy television show created by Julian Barratt, Noel Fielding and others. The Mighty Boosh is a comic fantasy containing humour and pop-culture references. Episodes often featured elaborate musical numbers in different genres, such as electro, heavy metal, funk, and rap. The show has been known for popularising a style called &quot;crimping&quot;; short a cappella songs which are present throughout all three series. Julian Barratt wrote the music within the show, and performs it with Noel Fielding. Fielding also designed many of the show's graphics and artwork. The TV series has many animated sequences, puppets and special effects. Barratt has said that he approached Fielding with the idea of doing a show like The Goodies, as if it were a complete &quot;world&quot; rather than simply a sketch show. Barratt and Fielding play many of the recurring and one-off characters themselves, with other characters being played by other Boosh members Rich Fulcher, Dave Brown, and Michael Fielding.The Mighty Boosh featuring Julian Barratt and Noel Fielding has one or more episodes streaming with subscription on Hulu, available for purchase on iTunes, available for purchase on Prime Video, and 1 other. It's a comedy and fantasy show with 20 episodes over 3 seasons. The Mighty Boosh is no longer running and has no plans to air new episodes or seasons. It has a high IMDb audience rating of 8.3 (20,099 votes) and was very well received by critics."/>
    <s v="3Seasons"/>
    <x v="4"/>
  </r>
  <r>
    <x v="627"/>
    <x v="14"/>
    <x v="1"/>
    <n v="7.3"/>
    <n v="75"/>
    <x v="96"/>
    <s v="When Harvard philosophy scholar Jack Griffin finds himself teaching high school in Toledo, Ohio, he tosses the syllabus and recruits his students to help enact revenge on his rival.A.P. Bio featuring Glenn Howerton and Patton Oswalt has one or more episodes free on Peacock, streaming with subscription on Peacock Premium, available for purchase on iTunes, and 4 others. It's a comedy show with 34 episodes over 3 seasons. A.P. Bio is still airing with no announced date for the next episode or season. It has a better than average IMDb audience rating of 7.3 (8,969 votes) and was well received by critics."/>
    <s v="3Seasons"/>
    <x v="125"/>
  </r>
  <r>
    <x v="628"/>
    <x v="1"/>
    <x v="1"/>
    <n v="7.8"/>
    <n v="75"/>
    <x v="52"/>
    <s v="Satirical sketch comedy set and filmed in Portland, Oregon that explores the eccentric misfits who embody the foibles of modern culture.Portlandia featuring Fred Armisen and Carrie Brownstein has one or more episodes streaming with subscription on Netflix, streaming via tv everywhere with IFC, streaming with subscription on fuboTV, and 4 others. It's a comedy show with 78 episodes over 8 seasons. Portlandia is no longer running and has no plans to air new episodes or seasons. It has a high IMDb audience rating of 7.8 (17,796 votes) and was very well received by critics."/>
    <s v="8Seasons"/>
    <x v="135"/>
  </r>
  <r>
    <x v="629"/>
    <x v="7"/>
    <x v="2"/>
    <n v="8.6"/>
    <n v="75"/>
    <x v="54"/>
    <s v="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Your Lie in April featuring Saori Hayami and Ai Kayano has one or more episodes streaming with subscription on Netflix, streaming with subscription on HBO MAX, streaming with subscription on Hulu, and 2 others. It's an animation and anime show with 22 episodes over 1 season. Your Lie in April is no longer running and has no plans to air new episodes or seasons. It has a high IMDb audience rating of 8.6 (14,471 votes)."/>
    <s v="1Season"/>
    <x v="29"/>
  </r>
  <r>
    <x v="630"/>
    <x v="23"/>
    <x v="0"/>
    <n v="8.4"/>
    <n v="75"/>
    <x v="11"/>
    <s v="Follow the intergenerational feud between the Joestar Family and various forces of evil, the most prominent of which is Dio Brando and his followers.JoJo's Bizarre Adventure featuring Kensho Ono and Yuichi Nakamura has one or more episodes streaming with subscription on Netflix, streaming with subscription on Hulu, free on PlutoTV, and 9 others. It's an action &amp; adventure and animation show with 229 episodes over 7 seasons. JoJo's Bizarre Adventure is still airing with no announced date for the next episode or season. It has a high IMDb audience rating of 8.4 (7,941 votes)."/>
    <s v="7Seasons"/>
    <x v="9"/>
  </r>
  <r>
    <x v="631"/>
    <x v="14"/>
    <x v="0"/>
    <n v="7.3"/>
    <n v="75"/>
    <x v="116"/>
    <s v="After his daughter goes missing, a widower begins uncovering the dark secrets of the people closest to him.Safe featuring Michael C. Hall and Amanda Abbington has one or more episodes streaming with subscription on Netflix. It's a crime and drama show with 8 episodes over 1 season. Safe is no longer running and has no plans to air new episodes or seasons. It has a better than average IMDb audience rating of 7.3 (29,352 votes) and was well received by critics."/>
    <s v="1Season"/>
    <x v="0"/>
  </r>
  <r>
    <x v="632"/>
    <x v="3"/>
    <x v="0"/>
    <n v="8"/>
    <n v="75"/>
    <x v="117"/>
    <s v="The story of a high school and the people who almost run it, the vice principals.Vice Principals featuring Walton Goggins and Danny McBride has one or more episodes streaming with subscription on HBO MAX, streaming on HBO, available for purchase on iTunes, and 4 others. It's a comedy show with 18 episodes over 2 seasons. Vice Principals is no longer running and has no plans to air new episodes or seasons. It has a high IMDb audience rating of 8.0 (20,374 votes) and was well received by critics."/>
    <s v="2Seasons"/>
    <x v="1"/>
  </r>
  <r>
    <x v="633"/>
    <x v="23"/>
    <x v="1"/>
    <n v="7.3"/>
    <n v="75"/>
    <x v="68"/>
    <s v="After a naive Midwestern girl's big city dreams are dashed her first week in New York, she finds herself living with her worst nightmare in this hilarious, contemporary comedy about a female odd couple who are surrounded by an outrageous cast of characters.Don't Trust the B---- in Apartment 23 featuring Krysten Ritter and Dreama Walker has one or more episodes streaming with subscription on Hulu, available for purchase on iTunes, available for purchase on Google Play, and 3 others. It's a comedy show with 26 episodes over 2 seasons. Don't Trust the B---- in Apartment 23 is no longer running and has no plans to air new episodes or seasons. It has a better than average IMDb audience rating of 7.3 (33,752 votes) and was well received by critics."/>
    <s v="2Seasons"/>
    <x v="4"/>
  </r>
  <r>
    <x v="634"/>
    <x v="21"/>
    <x v="1"/>
    <n v="8"/>
    <n v="75"/>
    <x v="2"/>
    <s v="A surreal take on transitioning from 20-something to 30-something centering on a married couple juggling such everyday challenges as parenthood, friendship, ham theft, stripper clowns and choosing the right day care.Close Enough featuring J.G. Quintel and Gabrielle Walsh has one or more episodes streaming with subscription on HBO MAX. It's an animation and comedy show with 15 episodes over 1 season. Close Enough is still airing with no announced date for the next episode or season. It has a high IMDb audience rating of 8.0 (1,298 votes) and was very well received by critics."/>
    <s v="1Season"/>
    <x v="57"/>
  </r>
  <r>
    <x v="635"/>
    <x v="4"/>
    <x v="1"/>
    <n v="7.6"/>
    <n v="75"/>
    <x v="13"/>
    <s v="Skeptical female clinical psychologist Kristen Benoist joins a priest-in-training and a blue-collar contractor as they investigate supposed miracles, demonic possessions, and other extraordinary occurrences to see if there’s a scientific explanation or if something truly supernatural is at work.Evil featuring Katja Herbers and Mike Colter has one or more episodes streaming on CBS All Access, free on CBS, available for purchase on Google Play, and 2 others. It's a crime and drama show with 13 episodes over 1 season. Evil is still airing with no announced date for the next episode or season. It has a high IMDb audience rating of 7.6 (7,802 votes) and was very well received by critics."/>
    <s v="1Season"/>
    <x v="136"/>
  </r>
  <r>
    <x v="636"/>
    <x v="4"/>
    <x v="2"/>
    <n v="7.1"/>
    <n v="75"/>
    <x v="10"/>
    <s v="A grieving teen finds an unexpected connection with two classmates at her new high school after they all land in the same Shoplifters Anonymous group.Trinkets featuring Brianna Hildebrand and Kiana Madeira has one or more episodes streaming with subscription on Netflix. It's a comedy and crime show with 20 episodes over 2 seasons. Trinkets is still airing with no announced date for the next episode or season. It has a better than average IMDb audience rating of 7.1 (5,513 votes) and was met with mixed reviews by critics."/>
    <s v="2Seasons"/>
    <x v="0"/>
  </r>
  <r>
    <x v="637"/>
    <x v="15"/>
    <x v="2"/>
    <n v="8.6"/>
    <n v="75"/>
    <x v="6"/>
    <s v="From England to Egypt, accompanied by his elegant and trustworthy sidekicks, the intelligent yet eccentrically-refined Belgian detective Hercule Poirot pits his wits against a collection of first class deceptions.Agatha Christie's Poirot featuring David Suchet and Hugh Fraser has one or more episodes streaming on AcornTV, streaming on BritBox, streaming with subscription on Hoopla, and 4 others. It's an action &amp; adventure and crime show with 74 episodes over 13 seasons. Agatha Christie's Poirot is no longer running and has no plans to air new episodes or seasons. It has a high IMDb audience rating of 8.6 (36,782 votes)."/>
    <s v="13Seasons"/>
    <x v="137"/>
  </r>
  <r>
    <x v="638"/>
    <x v="7"/>
    <x v="1"/>
    <n v="7.9"/>
    <n v="75"/>
    <x v="22"/>
    <s v="Children and teenagers become friends in a hospital where they are all patients. Together they try to escape the sad reality to create their own world with their own codes , while the nursing staff do their best to bring them a little happiness everyday. Charlie , in a coma for several months, attending meanwhile helplessly bustle around him. He sees nothing , but he hears everything ...Red Band Society featuring Octavia Spencer and Dave Annable has one or more episodes free on ABC, available for purchase on iTunes, available for purchase on Google Play, and 3 others. It's a comedy and drama show with 13 episodes over 1 season. Red Band Society is no longer running and has no plans to air new episodes or seasons. It has a high IMDb audience rating of 7.9 (9,286 votes) and was met with mixed reviews by critics."/>
    <s v="1Season"/>
    <x v="22"/>
  </r>
  <r>
    <x v="639"/>
    <x v="14"/>
    <x v="0"/>
    <n v="7.5"/>
    <n v="75"/>
    <x v="0"/>
    <s v="Set in the aftermath of Jax Teller’s death, Ezekiel &quot;EZ&quot; Reyes is fresh out of prison and a prospect in the Mayans M.C. charter on the Cali/Mexi border. Now, EZ must carve out his new identity in a town where he was once the golden boy with the American Dream in his grasp.Mayans M.C. featuring J. D. Pardo and Clayton Cardenas has one or more episodes streaming with subscription on Hulu, available for purchase on iTunes, available for purchase on Google Play, and 3 others. It's an action &amp; adventure and crime show with 20 episodes over 2 seasons. Mayans M.C. is still airing with no announced date for the next episode or season. It has a better than average IMDb audience rating of 7.5 (11,292 votes) and was well received by critics."/>
    <s v="2Seasons"/>
    <x v="4"/>
  </r>
  <r>
    <x v="640"/>
    <x v="11"/>
    <x v="1"/>
    <n v="7.4"/>
    <n v="75"/>
    <x v="0"/>
    <s v="Imagine the perfect American town... beautiful homes, manicured lawns, children playing safely in the streets. Now imagine never being able to leave. You have no communication with the outside world. You think you're going insane. You must be in Wayward Pines.Wayward Pines featuring Jason Patric and Nimrat Kaur has one or more episodes streaming with subscription on Hulu, available for purchase on iTunes, available for purchase on Google Play, and 3 others. It's a crime and drama show with 20 episodes over 2 seasons. Wayward Pines is no longer running and has no plans to air new episodes or seasons. It has a better than average IMDb audience rating of 7.4 (51,170 votes) and was met with mixed reviews by critics."/>
    <s v="2Seasons"/>
    <x v="4"/>
  </r>
  <r>
    <x v="641"/>
    <x v="7"/>
    <x v="1"/>
    <n v="7.1"/>
    <n v="75"/>
    <x v="27"/>
    <s v="Based on a true story, Scorpion is a high-octane drama about eccentric genius Walter O’Brien and his team of brilliant misfits who comprise the last line of defense against complex, high-tech threats of the modern age. As Homeland Security’s new think tank, O’Brien’s “Scorpion” team includes Toby Curtis, an expert behaviorist who can read anyone; Happy Quinn, a mechanical prodigy; and Sylvester Dodd, a statistics guru.Scorpion featuring Elyes Gabel and Katharine McPhee has one or more episodes streaming on CBS All Access, available for purchase on iTunes, available for purchase on Google Play, and 4 others. It's an action &amp; adventure and comedy show with 94 episodes over 4 seasons. Scorpion is no longer running and has no plans to air new episodes or seasons. It has a better than average IMDb audience rating of 7.1 (45,578 votes) and was met with mixed reviews by critics."/>
    <s v="4Seasons"/>
    <x v="97"/>
  </r>
  <r>
    <x v="642"/>
    <x v="4"/>
    <x v="0"/>
    <n v="7.8"/>
    <n v="75"/>
    <x v="4"/>
    <s v="Pianosa Island, Italy, World War II. Bombardier John Yossarian tries to fulfill his duty, maintain sanity and return home as soon as possible, but incompetence and bureaucracy constantly stand in his way.Catch-22 featuring Christopher Abbott and Kyle Chandler has one or more episodes streaming with subscription on Hulu, available for purchase on Google Play, available for purchase on VUDU, and 1 other. It's an action &amp; adventure and comedy show with 6 episodes over 1 season. Catch-22 is no longer running and has no plans to air new episodes or seasons. It has a high IMDb audience rating of 7.8 (13,831 votes) and was well received by critics."/>
    <s v="1Season"/>
    <x v="4"/>
  </r>
  <r>
    <x v="643"/>
    <x v="5"/>
    <x v="2"/>
    <n v="8.4"/>
    <n v="75"/>
    <x v="41"/>
    <s v="The life stories of history's greatest minds. From their days as young adults to their final years we see their discoveries, loves, relationships, causes, flaws and genius.Genius featuring Antonio Banderas and Clémence Poésy has one or more episodes streaming with subscription on Hulu, free on National Geographic, available for purchase on iTunes, and 4 others. It's a biography and drama show with 21 episodes over 2 seasons. Genius is still airing with no announced date for the next episode or season. It has a high IMDb audience rating of 8.4 (15,679 votes) and was well received by critics."/>
    <s v="2 Seasons"/>
    <x v="17"/>
  </r>
  <r>
    <x v="644"/>
    <x v="1"/>
    <x v="1"/>
    <n v="7.8"/>
    <n v="75"/>
    <x v="6"/>
    <s v="Detective Inspector Richard Poole is transferred to Sainte Marie, an island in the Caribbean. Totally unsuited to the Caribbean way of life, Richard hates the sun, sea and sand and isn't used to the Sainte Marie style of policing. Working with the exotic Camille each week Richard investigates intricate and intriguing murders.Death in Paradise featuring Tobi Bakare and Shyko Amos has one or more episodes streaming on BritBox, streaming with subscription on Hoopla, available for purchase on iTunes, and 5 others. It's an action &amp; adventure and comedy show with 80 episodes over 9 seasons. Death in Paradise is still airing with no announced date for the next episode or season. It has a high IMDb audience rating of 7.8 (13,435 votes) and was met with mixed reviews by critics."/>
    <s v="9Seasons"/>
    <x v="138"/>
  </r>
  <r>
    <x v="645"/>
    <x v="44"/>
    <x v="4"/>
    <n v="8.6999999999999993"/>
    <n v="75"/>
    <x v="101"/>
    <s v="Acclaimed blackly comic historical drama series. Set amidst a web of power, corruption and lies, it chronicles the reigns of the Roman emperors - Augustus, Tiberius, Caligula and finally Claudius.I, Claudius featuring Derek Jacobi and George Baker has one or more episodes streaming with subscription on Acorn TV (Via Prime Video), streaming with subscription on Hoopla, available for purchase on iTunes, and 3 others. It's a biography and drama show with 13 episodes over 1 season. I, Claudius is no longer running and has no plans to air new episodes or seasons. It has a high IMDb audience rating of 8.7 (15,375 votes) and was very well received by critics."/>
    <s v="1Season"/>
    <x v="139"/>
  </r>
  <r>
    <x v="646"/>
    <x v="3"/>
    <x v="0"/>
    <n v="8.9"/>
    <n v="75"/>
    <x v="24"/>
    <s v="The rise and fall of American football star, O.J. Simpson, from his days growing up in Los Angeles to his murder trial that polarized the country.O.J.: Made in America featuring O.J. Simpson and Kareem Abdul-Jabbar has one or more episodes available for purchase on iTunes, available for purchase on Google Play, available for purchase on Prime Video, and 1 other. It's a biography and crime show with 5 episodes over 1 season. O.J.: Made in America is no longer running and has no plans to air new episodes or seasons. It has a high IMDb audience rating of 8.9 (17,060 votes) and was very well received by critics."/>
    <s v="1Season"/>
    <x v="80"/>
  </r>
  <r>
    <x v="647"/>
    <x v="13"/>
    <x v="2"/>
    <n v="8.6"/>
    <n v="75"/>
    <x v="28"/>
    <s v="Margaret Hale is a southerner from a country vicarage newly settled in the industrial northern town of Milton. In the shock of her move, she misjudges charismatic cotton mill-owner John Thornton, whose strength of purpose and passion are a match for her own pride and willfulness. When the workers of Milton call a strike, Margaret takes their side, and the two are brought into deeper conflict. As events spiral out of control, Margaret - to her surprise - begins to fall in love with Thornton...North &amp; South featuring Richard Armitage and Daniela Denby-Ashe has one or more episodes streaming with subscription on Netflix, streaming with subscription on Hoopla, and available for purchase on VUDU. It's a drama and romance show with 15 episodes over 3 seasons. North &amp; South is no longer running and has no plans to air new episodes or seasons. It has a high IMDb audience rating of 8.6 (29,168 votes)."/>
    <s v="3Seasons"/>
    <x v="83"/>
  </r>
  <r>
    <x v="648"/>
    <x v="7"/>
    <x v="1"/>
    <n v="7.8"/>
    <n v="75"/>
    <x v="1"/>
    <s v="Set in 17th century Paris, musketeers Athos, Porthos, Aramis and D'Artagnan are members of an elite band of soldiers who fight for what is just. They are heroes in the truest and most abiding sense – men that can be trusted and believed in to do the right thing, regardless of personal risk.The Musketeers featuring Luke Pasqualino and Santiago Cabrera has one or more episodes streaming with subscription on Hulu, available for purchase on iTunes, available for purchase on Google Play, and 3 others. It's an action &amp; adventure and drama show with 30 episodes over 3 seasons. The Musketeers is no longer running and has no plans to air new episodes or seasons. It has a high IMDb audience rating of 7.8 (20,155 votes) and was well received by critics."/>
    <s v="3Seasons"/>
    <x v="4"/>
  </r>
  <r>
    <x v="649"/>
    <x v="4"/>
    <x v="3"/>
    <n v="9.1"/>
    <n v="75"/>
    <x v="63"/>
    <s v="Professor Brian Cox explores the dramatic lives of the eight majestic planets/worlds that make up our solar system.The Planets featuring Brian Cox has one or more episodes streaming with subscription on Prime Video, and available for purchase on Prime Video. It's a documentary show with 5 episodes over 1 season. The Planets is no longer running and has no plans to air new episodes or seasons. It has a very high IMDb audience rating of 9.1 (2,132 votes) and was very well received by critics."/>
    <s v="1 Season"/>
    <x v="3"/>
  </r>
  <r>
    <x v="650"/>
    <x v="14"/>
    <x v="0"/>
    <n v="7.6"/>
    <n v="75"/>
    <x v="102"/>
    <s v="This baffling true crime story starts with the grisly death of a pizza man who robs a bank with a bomb around his neck - and gets weirder from there.Evil Genius featuring Kevin G. Calkins and Marjorie Diehl-Armstrong has one or more episodes streaming with subscription on Netflix. It's a crime and documentary show with 4 episodes over 1 season. Evil Genius is no longer running and has no plans to air new episodes or seasons. It has a high IMDb audience rating of 7.6 (20,961 votes) and was well received by critics."/>
    <s v="1Season"/>
    <x v="0"/>
  </r>
  <r>
    <x v="651"/>
    <x v="34"/>
    <x v="2"/>
    <n v="7.3"/>
    <n v="75"/>
    <x v="118"/>
    <s v="Three's definitely a crowd for parcel post deliveryman Doug Heffernan, whose newly widowed father-in-law, Arthur has moved in with him and his wife Carrie. Doug's no longer the king of his domain -- the renovated basement that houses his beloved supersized TV set -- let alone the king of Queens, where he lives.The King of Queens featuring Kevin James and Leah Remini has one or more episodes streaming via tv everywhere with TBS, and streaming with subscription on Peacock Premium. It's a comedy show with 207 episodes over 9 seasons. The King of Queens is no longer running and has no plans to air new episodes or seasons. It has a better than average IMDb audience rating of 7.3 (74,097 votes)."/>
    <s v="9Seasons"/>
    <x v="140"/>
  </r>
  <r>
    <x v="652"/>
    <x v="19"/>
    <x v="1"/>
    <n v="8"/>
    <n v="75"/>
    <x v="54"/>
    <s v="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Fairy Tail featuring Tetsuya Kakihara and Aya Hirano has one or more episodes streaming with subscription on Netflix, streaming with subscription on Hulu, free on Crunchyroll, and 7 others. It's an action &amp; adventure and animation show with 557 episodes over 8 seasons. Fairy Tail is no longer running and has no plans to air new episodes or seasons. It has a high IMDb audience rating of 8.0 (19,422 votes)."/>
    <s v="8Seasons"/>
    <x v="9"/>
  </r>
  <r>
    <x v="653"/>
    <x v="2"/>
    <x v="1"/>
    <n v="7.8"/>
    <n v="75"/>
    <x v="5"/>
    <s v="Set against the backdrop of the Wars of the Roses, the series is the story of the women caught up in the protracted conflict for the throne of England.The White Queen featuring Rebecca Ferguson and Max Irons has one or more episodes streaming on Starz, available for purchase on iTunes, available for purchase on Google Play, and 3 others. It's a drama and history show with 10 episodes over 1 season. The White Queen is no longer running and has no plans to air new episodes or seasons. It has a high IMDb audience rating of 7.8 (22,883 votes) and was well received by critics."/>
    <s v="1Season"/>
    <x v="72"/>
  </r>
  <r>
    <x v="654"/>
    <x v="7"/>
    <x v="1"/>
    <n v="7.1"/>
    <n v="75"/>
    <x v="55"/>
    <s v="A family man struggles to gain a sense of cultural identity while raising his kids in a predominantly white, upper-middle-class neighborhood.black-ish featuring Anthony Anderson and Tracee Ellis Ross has one or more episodes streaming with subscription on Hulu, free on ABC, available for purchase on iTunes, and 4 others. It's a comedy and family show with 142 episodes over 6 seasons. black-ish is still airing with no announced date for the next episode or season. It has a better than average IMDb audience rating of 7.1 (18,900 votes) and was very well received by critics."/>
    <s v="6 Seasons"/>
    <x v="17"/>
  </r>
  <r>
    <x v="655"/>
    <x v="24"/>
    <x v="0"/>
    <n v="7.6"/>
    <n v="75"/>
    <x v="119"/>
    <s v="Hotshot plastic surgeons Dr. Sean McNamara and Dr. Christian Troy experience full-blown midlife crises as they confront career, family and romance problems.Nip/Tuck featuring Dylan Walsh and Julian McMahon has one or more episodes streaming with subscription on Hulu, available for purchase on iTunes, available for purchase on Google Play, and 4 others. It's a drama show with 109 episodes over 7 seasons. Nip/Tuck is no longer running and has no plans to air new episodes or seasons. It has a high IMDb audience rating of 7.6 (52,254 votes) and was well received by critics."/>
    <s v="7Seasons"/>
    <x v="4"/>
  </r>
  <r>
    <x v="656"/>
    <x v="21"/>
    <x v="4"/>
    <n v="7.5"/>
    <n v="75"/>
    <x v="19"/>
    <s v="Recovering addict and comedian Mae tries to control the addictive behaviors and intense romanticism that permeate every facet of her life. Life is further complicated by a new and all-consuming relationship with her new girlfriend George.Feel Good featuring Mae Martin and Charlotte Ritchie has one or more episodes streaming with subscription on Netflix. It's a comedy and drama show with 6 episodes over 1 season. Feel Good is still airing with no announced date for the next episode or season. It has a better than average IMDb audience rating of 7.5 (3,541 votes) and was very well received by critics."/>
    <s v="1Season"/>
    <x v="0"/>
  </r>
  <r>
    <x v="657"/>
    <x v="18"/>
    <x v="2"/>
    <n v="7.5"/>
    <n v="75"/>
    <x v="54"/>
    <s v="Join Ash Ketchum, accompanied by his partner Pikachu, as he travels through many regions, meets new friends and faces new challenges on his quest to become a Pokémon Master.Pokémon featuring Rica Matsumoto and Ikue Otani has one or more episodes streaming with subscription on Netflix, streaming with subscription on Prime Video, streaming with subscription on Hulu, and 6 others. It's an action &amp; adventure and animation show with 1,330 episodes over 23 seasons. Pokémon is still airing with no announced date for the next episode or season. It has a better than average IMDb audience rating of 7.5 (35,356 votes)."/>
    <s v="23 Seasons"/>
    <x v="20"/>
  </r>
  <r>
    <x v="658"/>
    <x v="5"/>
    <x v="0"/>
    <n v="6.5"/>
    <n v="75"/>
    <x v="6"/>
    <s v="Danny Rand resurfaces 15 years after being presumed dead. Now, with the power of the Iron Fist, he seeks to reclaim his past and fulfill his destiny.Marvel's Iron Fist featuring Finn Jones and Jessica Henwick has one or more episodes streaming with subscription on Netflix, available for purchase on iTunes, available for purchase on Google Play, and 3 others. It's an action &amp; adventure and crime show with 24 episodes over 2 seasons. Marvel's Iron Fist is no longer running and has no plans to air new episodes or seasons. It has an average IMDb audience rating of 6.5 (111,324 votes) and was not well received by critics."/>
    <s v="2Seasons"/>
    <x v="0"/>
  </r>
  <r>
    <x v="659"/>
    <x v="6"/>
    <x v="1"/>
    <n v="7.1"/>
    <n v="75"/>
    <x v="12"/>
    <s v="Set 58 years before Battlestar Galactica, Caprica follows two rival families - the Graystones and the Adamas - as they grow, compete, and thrive in the vibrant world of the peaceful 12 Colonies, living in a society close to our own. Entangled in the burgeoning technology of artificial intelligence and robotics that will eventually lead to the creation of the Cylons, the two houses go toe-to-toe, blending action with corporate conspiracy and sexual politics.Caprica featuring Eric Stoltz and Esai Morales has one or more episodes free on NBC, available for purchase on iTunes, available for purchase on Google Play, and 4 others. It's an action &amp; adventure and drama show with 20 episodes over 1 season. Caprica is no longer running and has no plans to air new episodes or seasons. It has a better than average IMDb audience rating of 7.1 (23,558 votes) and was well received by critics."/>
    <s v="1 Season"/>
    <x v="22"/>
  </r>
  <r>
    <x v="660"/>
    <x v="4"/>
    <x v="0"/>
    <n v="7.9"/>
    <n v="74"/>
    <x v="115"/>
    <s v="Middle school as it really happened. Maya Erskine and Anna Konkle star in this adult comedy, playing versions of themselves as thirteen-year-old outcasts in the year 2000, surrounded by actual thirteen-year-olds, where the best day of your life can turn into your worst with the stroke of a gel pen.PEN15 featuring Maya Erskine and Anna Konkle has one or more episodes streaming with subscription on Hulu, available for purchase on Google Play, and available for purchase on YouTube. It's a comedy show with 10 episodes over 1 season. PEN15 is still airing with no announced date for the next episode or season. It has a high IMDb audience rating of 7.9 (3,908 votes) and was very well received by critics."/>
    <s v="1Season"/>
    <x v="4"/>
  </r>
  <r>
    <x v="661"/>
    <x v="11"/>
    <x v="1"/>
    <n v="7.4"/>
    <n v="74"/>
    <x v="33"/>
    <s v="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quot;Jane,&quot; Agent Weller and the rest of the FBI quickly realize that each mark on her body is a crime to solve, leading them closer to the truth about her identity and the mysteries to be revealed.Blindspot featuring Jaimie Alexander and Sullivan Stapleton has one or more episodes streaming with subscription on Hulu, free on NBC, streaming with subscription on fuboTV, and 5 others. It's an action &amp; adventure and crime show with 101 episodes over 5 seasons. Blindspot is no longer running and has no plans to air new episodes or seasons. It has a better than average IMDb audience rating of 7.4 (65,187 votes)."/>
    <s v="5 Seasons"/>
    <x v="101"/>
  </r>
  <r>
    <x v="662"/>
    <x v="7"/>
    <x v="1"/>
    <n v="7.6"/>
    <n v="74"/>
    <x v="73"/>
    <s v="Former CIA agent Elizabeth Faulkner McCord is suddenly thrust into the position of US Secretary of State where she must quickly learn to drive international diplomacy, wrangle office politics and balance a complex family life.Madam Secretary featuring Téa Leoni and Tim Daly has one or more episodes streaming with subscription on Netflix, streaming on CBS All Access, free on CBS, and 5 others. It's a drama show with 120 episodes over 6 seasons. Madam Secretary is no longer running and has no plans to air new episodes or seasons. It has a high IMDb audience rating of 7.6 (19,467 votes) and was well received by critics."/>
    <s v="6Seasons"/>
    <x v="36"/>
  </r>
  <r>
    <x v="663"/>
    <x v="5"/>
    <x v="1"/>
    <n v="7.4"/>
    <n v="74"/>
    <x v="3"/>
    <s v="Welcome to a place where being normal is really quite strange. In a remote Texas town no one is who they seem. From vampires and witches to psychics and hit men, Midnight is a mysterious safe haven for those who are different. As the town members fight off outside pressures from rowdy biker gangs, ever-suspicious cops and their own dangerous pasts, they band together and form a strong and unlikely family.Midnight, Texas featuring François Arnaud and Dylan Bruce has one or more episodes free on NBC, available for purchase on iTunes, available for purchase on Google Play, and 3 others. It's a drama and fantasy show with 19 episodes over 2 seasons. Midnight, Texas is no longer running and has no plans to air new episodes or seasons. It has a better than average IMDb audience rating of 7.4 (12,155 votes) and was met with mixed reviews by critics."/>
    <s v="2Seasons"/>
    <x v="22"/>
  </r>
  <r>
    <x v="664"/>
    <x v="21"/>
    <x v="1"/>
    <n v="8.1999999999999993"/>
    <n v="74"/>
    <x v="113"/>
    <s v="The stakes on the mat are high, but for these cheerleaders, the only thing more brutal than their workouts and more exceptional than their performances are the stories of adversity and triumph behind the athletes themselves.Cheer featuring Monica Aldama and Gabi Butler has one or more episodes streaming with subscription on Netflix. It's a documentary and reality show with 6 episodes over 1 season. Cheer is no longer running and has no plans to air new episodes or seasons. It has a high IMDb audience rating of 8.2 (3,643 votes) and was very well received by critics."/>
    <s v="1Season"/>
    <x v="0"/>
  </r>
  <r>
    <x v="665"/>
    <x v="23"/>
    <x v="0"/>
    <n v="8"/>
    <n v="74"/>
    <x v="22"/>
    <s v="After Frank The Fixer Tagliano testifies against his Mafia boss in New York, he enters the Witness Protection Program and makes an unusual demand: he wants to be set up with a new life in the Norwegian small town of Lillehammer or as he calls it, Lilyhammer.Lilyhammer featuring Steven Van Zandt and Trond Fausa Aurvåg has one or more episodes streaming with subscription on Netflix, and available for purchase on Prime Video. It's a comedy and crime show with 24 episodes over 3 seasons. Lilyhammer is no longer running and has no plans to air new episodes or seasons. It has a high IMDb audience rating of 8.0 (25,540 votes) and was well received by critics."/>
    <s v="3Seasons"/>
    <x v="0"/>
  </r>
  <r>
    <x v="666"/>
    <x v="21"/>
    <x v="0"/>
    <n v="5.8"/>
    <n v="74"/>
    <x v="1"/>
    <s v="In this fresh take on the Arthurian legend, teenager Nimue joins forces with mercenary Arthur on a quest to find Merlin and deliver an ancient sword.Cursed featuring Katherine Langford and Devon Terrell has one or more episodes streaming with subscription on Netflix. It's an action &amp; adventure and drama show with 10 episodes over 1 season. Cursed is still airing with no announced date for the next episode or season. It has an average IMDb audience rating of 5.8 (19,215 votes) and was well received by critics."/>
    <s v="1 Season"/>
    <x v="0"/>
  </r>
  <r>
    <x v="667"/>
    <x v="5"/>
    <x v="0"/>
    <n v="8"/>
    <n v="74"/>
    <x v="22"/>
    <s v="A famed major league baseball announcer who suffers an embarrassing and very public meltdown live on the air after discovering his beloved wife's serial infidelity decides to reclaim his career and love life in a small town a decade later.Brockmire featuring Hank Azaria and Amanda Peet has one or more episodes streaming with subscription on Hulu, streaming via tv everywhere with IFC, streaming via tv everywhere with AMC, and 6 others. It's a comedy and drama show with 32 episodes over 4 seasons. Brockmire is no longer running and has no plans to air new episodes or seasons. It has a high IMDb audience rating of 8.0 (4,357 votes) and was very well received by critics."/>
    <s v="4Seasons"/>
    <x v="141"/>
  </r>
  <r>
    <x v="668"/>
    <x v="1"/>
    <x v="1"/>
    <n v="6.8"/>
    <n v="74"/>
    <x v="17"/>
    <s v="In the year 2149, the world is dying. The planet is overdeveloped and overcrowded, with the majority of plant and animal life extinct. The future of mankind is in jeopardy, and its only hope for survival is in the distant past. An ordinary family goes on an extraordinary journey back in time to prehistoric Earth as a part of a massive expedition to save the human race.Terra Nova featuring Jason O'Mara and Shelley Conn has one or more episodes free on IMDb TV, available for purchase on iTunes, available for purchase on Prime Video, and 2 others. It's an action &amp; adventure and drama show with 14 episodes over 1 season. Terra Nova is no longer running and has no plans to air new episodes or seasons. It has a better than average IMDb audience rating of 6.8 (79,067 votes) and was met with mixed reviews by critics."/>
    <s v="1Season"/>
    <x v="22"/>
  </r>
  <r>
    <x v="669"/>
    <x v="17"/>
    <x v="0"/>
    <n v="8.3000000000000007"/>
    <n v="74"/>
    <x v="11"/>
    <s v="Hellsing, a secret organization of the British government, have long been battling supernatural threats to keep the people safe from the creatures of the night. The current leader, Integra Wingates Hellsing, controls her own personal army to eliminate the undead beings, but even her highly trained soldiers pale in comparison to her most trusted vampire exterminator — a vampire by the name of Alucard. Along with Integra's mysterious butler and Alucard's new vampire minion, Seras Victoria, the Hellsing Organization must face not only regular ghouls and vampires, but a rivalling secret organization from the Vatican, and Millennium, an enigmatic group of madmen spawned by a certain war over 50 years ago... A bloody battle between monsters is about to begin. The dead are dancing, and all hell is singing...Hellsing Ultimate featuring Jouji Nakata and Fumiko Orikasa has one or more episodes streaming with subscription on Hulu. It's an action &amp; adventure and animation show with 12 episodes over 1 season. Hellsing Ultimate is no longer running and has no plans to air new episodes or seasons. It has a high IMDb audience rating of 8.3 (18,974 votes) and was well received by critics."/>
    <s v="1Season"/>
    <x v="4"/>
  </r>
  <r>
    <x v="670"/>
    <x v="24"/>
    <x v="1"/>
    <n v="8.5"/>
    <n v="74"/>
    <x v="11"/>
    <s v="Edward and Alphonse Elric are two brothers gifted with the ability of alchemy, the science of taking one thing and changing it into another. However, alchemy works on the theory of Equivalent Exchange -- for something to be created, something else of equal value must be sacrificed. When their mother dies, Edward decides to do the unthinkable -- bringing her back to life by breaking one of Alchemy's biggest taboos and performing Human Alchemy. Thinking they have nothing more to lose, he and Alphonse make their attempt -- but something goes horribly wrong. In the process, Alphonse loses his body and Edward loses his leg. Ed manages to save Al by attaching his spirit to a suit of armor, but at the cost of his arm and leg.Fullmetal Alchemist featuring Romi Park and Rie Kugimiya has one or more episodes streaming with subscription on Netflix, and available for purchase on Google Play. It's an action &amp; adventure and animation show with 76 episodes over 2 seasons. Fullmetal Alchemist is no longer running and has no plans to air new episodes or seasons. It has a high IMDb audience rating of 8.5 (60,062 votes)."/>
    <s v="2Seasons"/>
    <x v="0"/>
  </r>
  <r>
    <x v="671"/>
    <x v="2"/>
    <x v="2"/>
    <n v="8.1999999999999993"/>
    <n v="74"/>
    <x v="120"/>
    <s v="A young boy takes his mother's place in a group of gemstone-based beings, and must learn to control his powers.Steven Universe featuring Zach Callison and Estelle has one or more episodes streaming with subscription on HBO MAX, streaming with subscription on Hulu, streaming via tv everywhere with Cartoon Network, and 3 others. It's an action &amp; adventure and animation show with 171 episodes over 7 seasons. Steven Universe is no longer running and has no plans to air new episodes or seasons. It has a high IMDb audience rating of 8.2 (24,700 votes)."/>
    <s v="7 Seasons"/>
    <x v="142"/>
  </r>
  <r>
    <x v="672"/>
    <x v="17"/>
    <x v="0"/>
    <n v="8.6"/>
    <n v="74"/>
    <x v="11"/>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Code Geass: Lelouch of the Rebellion featuring Jun Fukuyama and Takahiro Sakurai has one or more episodes streaming with subscription on Netflix, streaming with subscription on Funimation, available for purchase on iTunes, and 3 others. It's an action &amp; adventure and animation show with 55 episodes over 2 seasons. Code Geass: Lelouch of the Rebellion is no longer running and has no plans to air new episodes or seasons. It has a high IMDb audience rating of 8.6 (47,040 votes)."/>
    <s v="2Seasons"/>
    <x v="143"/>
  </r>
  <r>
    <x v="673"/>
    <x v="45"/>
    <x v="3"/>
    <n v="8.6999999999999993"/>
    <n v="74"/>
    <x v="2"/>
    <s v="Tom and Jerry is a series of theatrical animated cartoon films created by William Hanna and Joseph Barbera for Metro-Goldwyn-Mayer, centering on a rivalry between a cat and a mouse whose chases include slapstick comedy.Tom and Jerry featuring Dick Beals and Daws Butler has one or more episodes streaming with subscription on HBO MAX, available for purchase on iTunes, available for purchase on Google Play, and 2 others. It's an animation and children show with 212 episodes over 6 seasons. Tom and Jerry is no longer running and has no plans to air new episodes or seasons. It has a high IMDb audience rating of 8.7 (28,298 votes)."/>
    <s v="6Seasons"/>
    <x v="57"/>
  </r>
  <r>
    <x v="674"/>
    <x v="1"/>
    <x v="0"/>
    <n v="7.8"/>
    <n v="74"/>
    <x v="22"/>
    <s v="Everyone else sees Wilfred as just a dog, but Ryan sees a crude and somewhat surly, yet irrepressibly brave and honest Australian bloke in a cheap dog suit. While leading him through a series of comedic and existential adventures, Wilfred the dog shows Ryan the man how to overcome his fears and joyfully embrace the unpredictability and insanity of the world around him.Wilfred featuring Elijah Wood and Jason Gann has one or more episodes streaming with subscription on Hulu, available for purchase on iTunes, available for purchase on Google Play, and 4 others. It's a comedy and drama show with 49 episodes over 4 seasons. Wilfred is no longer running and has no plans to air new episodes or seasons. It has a high IMDb audience rating of 7.8 (39,724 votes) and was well received by critics."/>
    <s v="4 Seasons"/>
    <x v="4"/>
  </r>
  <r>
    <x v="675"/>
    <x v="4"/>
    <x v="1"/>
    <n v="7.5"/>
    <n v="74"/>
    <x v="22"/>
    <s v="Payton has known since childhood that he's going to be president. First he'll have to navigate the most treacherous political landscape: high school.The Politician featuring Ben Platt and Judith Light has one or more episodes streaming with subscription on Netflix. It's a comedy and drama show with 16 episodes over 2 seasons. The Politician is still airing with no announced date for the next episode or season. It has a better than average IMDb audience rating of 7.5 (16,710 votes) and was met with mixed reviews by critics."/>
    <s v="2 Seasons"/>
    <x v="0"/>
  </r>
  <r>
    <x v="676"/>
    <x v="3"/>
    <x v="1"/>
    <n v="8.5"/>
    <n v="74"/>
    <x v="121"/>
    <s v="In a docuseries set at one of NCAA football's most fertile recruiting grounds, guys with red flags seek to prove their worth on the field and in class.Last Chance U featuring Brittany Wagner and Buddy Stephens has one or more episodes streaming with subscription on Netflix. It's a documentary and sport show with 38 episodes over 5 seasons. Last Chance U is still airing with no announced date for the next episode or season. It has a high IMDb audience rating of 8.5 (5,774 votes) and was very well received by critics."/>
    <s v="5Seasons"/>
    <x v="0"/>
  </r>
  <r>
    <x v="677"/>
    <x v="27"/>
    <x v="1"/>
    <n v="7.7"/>
    <n v="74"/>
    <x v="11"/>
    <s v="One day, Usagi Tsukino, clumsy 2nd-year middle school student (8th grader), stumbles upon a talking cat named Luna. Luna tells her that she is destined to be Sailor Moon, &quot;champion of love and justice&quot;, and she must search for the fabled Moon Princess. Usagi finds friends that turn out to be destined senshi as well, and together they fight to save the world from the certain doom brought upon by the Dark Kingdom (Queen Beryl, the generals, Metallia).Sailor Moon featuring Kotono Mitsuishi and Aya Hisakawa has one or more episodes streaming with subscription on Hulu, available for purchase on iTunes, available for purchase on Google Play, and 2 others. It's an action &amp; adventure and animation show with 203 episodes over 5 seasons. Sailor Moon is no longer running and has no plans to air new episodes or seasons. It has a high IMDb audience rating of 7.7 (5,213 votes) and was very well received by critics."/>
    <s v="5 Seasons"/>
    <x v="4"/>
  </r>
  <r>
    <x v="678"/>
    <x v="24"/>
    <x v="2"/>
    <n v="7.7"/>
    <n v="74"/>
    <x v="64"/>
    <s v="Teenage Mutant Ninja Turtles is an American animated television series, mainly set in New York City. It first aired on February 8, 2003 and ended on February 28, 2009. The series marked the revival of the franchise as a Saturday morning cartoon on Fox's Fox Box programming block The TMNT 2003 TV series was produced by 4Kids Entertainment, and Mirage Studios, which each owned half of the rights to the show, and animated by Dong Woo Animation. Reruns ran on Cartoon Network's Miguzi block in 2004. The series migrated to The CW4Kids in its final season after 4Kids's contract with Fox ended. Nickelodeon now owns the rights to this and any future Turtles series.Teenage Mutant Ninja Turtles featuring Veronica Taylor and Wayne Grayson has one or more episodes available for purchase on iTunes, available for purchase on Google Play, available for purchase on Prime Video, and 1 other. It's an action &amp; adventure and animation show with 156 episodes over 7 seasons. Teenage Mutant Ninja Turtles is no longer running and has no plans to air new episodes or seasons. It has a high IMDb audience rating of 7.7 (8,181 votes) and was well received by critics."/>
    <s v="7 Seasons"/>
    <x v="80"/>
  </r>
  <r>
    <x v="679"/>
    <x v="11"/>
    <x v="2"/>
    <n v="8.4"/>
    <n v="74"/>
    <x v="54"/>
    <s v="With Majin Boo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Dragon Ball Super featuring Masako Nozawa and Takeshi Kusao has one or more episodes streaming via tv everywhere with Adult Swim (Via Cable/Satellite Provider), free on Crunchyroll, streaming with subscription on fuboTV, and 4 others. It's an action &amp; adventure and animation show with 409 episodes over 10 seasons. Dragon Ball Super is no longer running and has no plans to air new episodes or seasons. It has a high IMDb audience rating of 8.4 (21,881 votes)."/>
    <s v="10Seasons"/>
    <x v="144"/>
  </r>
  <r>
    <x v="680"/>
    <x v="14"/>
    <x v="2"/>
    <n v="6.5"/>
    <n v="74"/>
    <x v="4"/>
    <s v="Follow a teenage girl and a trio of fallen gods on a perilous journey as they attempt to bring an end to a demonic reign of chaos and restore balance to their world. Inspired by the 16th Century Chinese fable “Journey to the West.”The New Legends of Monkey featuring Luciane Buchanan and Chai Hansen has one or more episodes streaming with subscription on Netflix. It's an action &amp; adventure and comedy show with 20 episodes over 2 seasons. The New Legends of Monkey is still airing with no announced date for the next episode or season. It has an average IMDb audience rating of 6.5 (3,209 votes) and was very well received by critics."/>
    <s v="2Seasons"/>
    <x v="0"/>
  </r>
  <r>
    <x v="681"/>
    <x v="4"/>
    <x v="1"/>
    <n v="8.8000000000000007"/>
    <n v="74"/>
    <x v="23"/>
    <s v="A paragliding mishap drops a South Korean heiress in North Korea -- and into the life of an army officer, who decides he will help her hide.Crash Landing on You featuring Son Ye-jin and Hyun Bin has one or more episodes streaming with subscription on Netflix. It's an action &amp; adventure and comedy show with 16 episodes over 1 season. Crash Landing on You is no longer running and has no plans to air new episodes or seasons. It has a high IMDb audience rating of 8.8 (8,200 votes)."/>
    <s v="1Season"/>
    <x v="0"/>
  </r>
  <r>
    <x v="682"/>
    <x v="46"/>
    <x v="2"/>
    <n v="7.7"/>
    <n v="74"/>
    <x v="6"/>
    <s v="Angus MacGyver works as a troubleshooter for the Phoenix Foundation in Los Angeles and as an agent for a United States government agency, the Department of External Services. Educated as a scientist, MacGyer served as a Bomb Team Technician/EOD during the Vietnam War. Resourceful and possessed of an encyclopedic knowledge of the physical sciences, he solves complex problems with everyday materials he finds at hand, along with his ever-present duct tape and Swiss Army knife. He prefers non-violent resolutions and prefers not to handle a gun, but will if necessary.MacGyver featuring Richard Dean Anderson and Dana Elcar has one or more episodes streaming with subscription on Prime Video, streaming on CBS All Access, free on CBS, and 5 others. It's an action &amp; adventure and crime show with 139 episodes over 7 seasons. MacGyver is no longer running and has no plans to air new episodes or seasons. It has a high IMDb audience rating of 7.7 (34,836 votes)."/>
    <s v="7Seasons"/>
    <x v="145"/>
  </r>
  <r>
    <x v="683"/>
    <x v="21"/>
    <x v="2"/>
    <n v="7.3"/>
    <n v="74"/>
    <x v="1"/>
    <s v="Courtney Whitmore, a smart, athletic and above all else kind girl, discovers her step-father has a secret: he used to be the sidekick to a superhero. &quot;Borrowing&quot; the long-lost hero’s cosmic staff, she becomes the unlikely inspiration for an entirely new generation of superheroes.Stargirl featuring Brec Bassinger and Luke Wilson has one or more episodes free on The CW, streaming with subscription on DC Universe, and available for purchase on VUDU. It's an action &amp; adventure and crime show with 13 episodes over 1 season. Stargirl is still airing with no announced date for the next episode or season. It has a better than average IMDb audience rating of 7.3 (7,530 votes)."/>
    <s v="1Season"/>
    <x v="107"/>
  </r>
  <r>
    <x v="684"/>
    <x v="32"/>
    <x v="1"/>
    <n v="8.1"/>
    <n v="74"/>
    <x v="72"/>
    <s v="A late-night live television sketch comedy and variety show created by Lorne Michaels. The show's comedy sketches, which parody contemporary culture and politics, are performed by a large and varying cast of repertory and newer cast members. Each episode is hosted by a celebrity guest, who usually delivers an opening monologue and performs in sketches with the cast, and features performances by a musical guest.Saturday Night Live featuring Beck Bennett and Aidy Bryant has one or more episodes streaming with subscription on Hulu, streaming via tv everywhere with NBC (Via Cable/Satellite Provider), free on NBC, and 8 others. It's a comedy show with 910 episodes over 45 seasons. Saturday Night Live has a new episode airing on October 3rd, 2020 (PDT). It has a high IMDb audience rating of 8.1 (41,736 votes)."/>
    <s v="45 Seasons"/>
    <x v="43"/>
  </r>
  <r>
    <x v="685"/>
    <x v="6"/>
    <x v="0"/>
    <n v="8.1999999999999993"/>
    <n v="74"/>
    <x v="27"/>
    <s v="The series follows John Porter, a former British Special Forces soldier, who is drafted back into service by Section 20, a fictional branch of the Secret Intelligence Service.Strike Back featuring Warren Brown and Daniel MacPherson has one or more episodes streaming with subscription on Prime Video, streaming on Cinemax, available for purchase on iTunes, and 4 others. It's an action &amp; adventure and drama show with 89 episodes over 8 seasons. Strike Back is no longer running and has no plans to air new episodes or seasons. It has a high IMDb audience rating of 8.2 (28,787 votes)."/>
    <s v="8Seasons"/>
    <x v="146"/>
  </r>
  <r>
    <x v="686"/>
    <x v="11"/>
    <x v="1"/>
    <n v="7.7"/>
    <n v="74"/>
    <x v="122"/>
    <s v="A woman suspects her husband of having an affair. After following several lines of enquiries far more unravels including a streak of violence below the surface.Doctor Foster featuring Suranne Jones and Bertie Carvel has one or more episodes streaming with subscription on Netflix, streaming with subscription on Hoopla, available for purchase on iTunes, and 4 others. It's a drama show with 10 episodes over 2 seasons. Doctor Foster is no longer running and has no plans to air new episodes or seasons. It has a high IMDb audience rating of 7.7 (14,183 votes) and was well received by critics."/>
    <s v="2Seasons"/>
    <x v="83"/>
  </r>
  <r>
    <x v="687"/>
    <x v="4"/>
    <x v="1"/>
    <n v="7.6"/>
    <n v="74"/>
    <x v="13"/>
    <s v="A chronicle of the true top secret U.S. Air Force-sponsored investigations into UFO-related phenomena in the 1950s and ’60s, known as “Project Blue Book.”Project Blue Book featuring Aidan Gillen and Michael Malarkey has one or more episodes free on Peacock, available for purchase on Google Play, available for purchase on VUDU, and 1 other. It's a drama and fantasy show with 20 episodes over 2 seasons. Project Blue Book is no longer running and has no plans to air new episodes or seasons. It has a high IMDb audience rating of 7.6 (9,272 votes) and was well received by critics."/>
    <s v="2Seasons"/>
    <x v="22"/>
  </r>
  <r>
    <x v="688"/>
    <x v="5"/>
    <x v="0"/>
    <n v="8.4"/>
    <n v="74"/>
    <x v="0"/>
    <s v="Colognian commissioner Gereon Rath moves to Berlin, the epicenter of political and social changes in the Golden Twenties.Babylon Berlin featuring Volker Bruch and Liv Lisa Fries has one or more episodes streaming with subscription on Netflix. It's a crime and drama show with 36 episodes over 3 seasons. Babylon Berlin is still airing with no announced date for the next episode or season. It has a high IMDb audience rating of 8.4 (16,778 votes)."/>
    <s v="3Seasons"/>
    <x v="0"/>
  </r>
  <r>
    <x v="689"/>
    <x v="21"/>
    <x v="0"/>
    <n v="8.6999999999999993"/>
    <n v="74"/>
    <x v="104"/>
    <s v="Comedy duo Thomas Middleditch and Ben Schwartz turn small ideas into epically funny stories in this series of completely improvised comedy specials.Middleditch &amp; Schwartz featuring Thomas Middleditch and Ben Schwartz has one or more episodes streaming with subscription on Netflix. It's a comedy show with 3 episodes over 1 season. Middleditch &amp; Schwartz is still airing with no announced date for the next episode or season. It has a high IMDb audience rating of 8.7 (2,976 votes) and was very well received by critics."/>
    <s v="1 Season"/>
    <x v="0"/>
  </r>
  <r>
    <x v="690"/>
    <x v="11"/>
    <x v="1"/>
    <n v="7.8"/>
    <n v="74"/>
    <x v="6"/>
    <s v="An anthology drama focusing on all aspects of the U.S. criminal justice system dealing with crimes committed in America.American Crime featuring Timothy Hutton and W. Earl Brown has one or more episodes streaming with subscription on Netflix, available for purchase on iTunes, available for purchase on Google Play, and 3 others. It's an action &amp; adventure and crime show with 30 episodes over 3 seasons. American Crime is no longer running and has no plans to air new episodes or seasons. It has a high IMDb audience rating of 7.8 (9,098 votes) and was very well received by critics."/>
    <s v="3 Seasons"/>
    <x v="0"/>
  </r>
  <r>
    <x v="691"/>
    <x v="26"/>
    <x v="1"/>
    <n v="7.6"/>
    <n v="74"/>
    <x v="79"/>
    <s v="A Las Vegas team of forensic investigators are trained to solve criminal cases by scouring the crime scene, collecting irrefutable evidence and finding the missing pieces that solve the mystery.CSI: Crime Scene Investigation featuring Ted Danson and Elisabeth Harnois has one or more episodes streaming with subscription on Hulu, streaming on CBS All Access, streaming via tv everywhere with Syfy, and 6 others. It's an action &amp; adventure and crime show with 340 episodes over 16 seasons. CSI: Crime Scene Investigation is no longer running and has no plans to air new episodes or seasons. It has a high IMDb audience rating of 7.6 (75,944 votes)."/>
    <s v="16 Seasons"/>
    <x v="68"/>
  </r>
  <r>
    <x v="692"/>
    <x v="36"/>
    <x v="2"/>
    <n v="8.3000000000000007"/>
    <n v="74"/>
    <x v="22"/>
    <s v="The Wonder Years tells the story of Kevin Arnold (Fred Savage) facing the trials and tribulations of youth while growing up during the 1960s and 70s. Told through narration from an adult Kevin (Daniel Stern), Kevin faces the difficulties of maintaining relationships and friendships on his enthralling journey into adulthood.The Wonder Years featuring Fred Savage and Alley Mills has one or more episodes streaming with subscription on Hulu. It's a comedy and drama show with 115 episodes over 6 seasons. The Wonder Years is no longer running and has no plans to air new episodes or seasons. It has a high IMDb audience rating of 8.3 (33,497 votes)."/>
    <s v="6Seasons"/>
    <x v="4"/>
  </r>
  <r>
    <x v="693"/>
    <x v="19"/>
    <x v="2"/>
    <n v="7"/>
    <n v="74"/>
    <x v="8"/>
    <s v="Jules Cobb is a mom in her forties facing the often humorous challenges, pitfalls and rewards of life's next chapter. Along for the journey is her son, her ex-husband, her husband/neighbor and her friends who together make up her dysfunctional, but supportive and caring extended family... even if they have a funny way of showing it sometimes.Cougar Town featuring Courteney Cox and Christa Miller has one or more episodes streaming with subscription on Prime Video, streaming with subscription on Hulu, available for purchase on iTunes, and 4 others. It's a comedy and romance show with 102 episodes over 6 seasons. Cougar Town is no longer running and has no plans to air new episodes or seasons. It has a better than average IMDb audience rating of 7.0 (40,056 votes) and was very well received by critics."/>
    <s v="6Seasons"/>
    <x v="15"/>
  </r>
  <r>
    <x v="694"/>
    <x v="4"/>
    <x v="0"/>
    <n v="7.5"/>
    <n v="74"/>
    <x v="123"/>
    <s v="When a novelist realizes her terrifying stories are coming true, she returns to her hometown to face the demons from her past that inspire her writing.Marianne featuring Victoire Du Bois and Lucie Boujenah has one or more episodes streaming with subscription on Netflix. It's a drama and horror show with 8 episodes over 1 season. Marianne is no longer running and has no plans to air new episodes or seasons. It has a better than average IMDb audience rating of 7.5 (10,673 votes) and was very well received by critics."/>
    <s v="1Season"/>
    <x v="0"/>
  </r>
  <r>
    <x v="695"/>
    <x v="14"/>
    <x v="1"/>
    <n v="7.7"/>
    <n v="74"/>
    <x v="124"/>
    <s v="It's the late 1960s, homosexuality has only just been legalised and Jeremy Thorpe, the leader of the Liberal party, has a secret he's desperate to hide.A Very English Scandal featuring Hugh Grant and Ben Whishaw has one or more episodes streaming with subscription on Prime Video. It's a biography and comedy show with 3 episodes over 1 season. A Very English Scandal is no longer running and has no plans to air new episodes or seasons. It has a high IMDb audience rating of 7.7 (9,353 votes) and was very well received by critics."/>
    <s v="1Season"/>
    <x v="3"/>
  </r>
  <r>
    <x v="696"/>
    <x v="21"/>
    <x v="0"/>
    <n v="7.4"/>
    <n v="74"/>
    <x v="60"/>
    <s v="Real cases of perplexing disappearances, shocking murders and paranormal encounters fuel this gripping revival of the iconic documentary series.Unsolved Mysteries has one or more episodes streaming with subscription on Netflix. It's a crime and documentary show with 6 episodes over 1 season. Unsolved Mysteries is still airing with no announced date for the next episode or season. It has a better than average IMDb audience rating of 7.4 (5,086 votes) and was well received by critics."/>
    <s v="1Season"/>
    <x v="0"/>
  </r>
  <r>
    <x v="697"/>
    <x v="16"/>
    <x v="0"/>
    <n v="8.1999999999999993"/>
    <n v="74"/>
    <x v="37"/>
    <s v="The lives and loves of young men in and around the Manchester gay scene.Queer as Folk featuring Aidan Gillen and Charlie Hunnam has one or more episodes streaming with subscription on Prime Video, streaming via tv everywhere with Showtime Anytime, streaming with subscription on Acorn TV, and 4 others. It's a drama and LGBTQ show with 89 episodes over 5 seasons. Queer as Folk is no longer running and has no plans to air new episodes or seasons. It has a high IMDb audience rating of 8.2 (5,691 votes) and was very well received by critics."/>
    <s v="5Seasons"/>
    <x v="76"/>
  </r>
  <r>
    <x v="698"/>
    <x v="23"/>
    <x v="1"/>
    <n v="7.6"/>
    <n v="74"/>
    <x v="22"/>
    <s v="Michelle, a Las Vegas showgirl, impulsively marries a man, moves to his sleepy coastal town, and takes an uneasy role at her new mother-in-law's dance school.Bunheads featuring Sutton Foster and Kelly Bishop has one or more episodes streaming with subscription on Hulu, free on Freeform, streaming with subscription on fuboTV, and 2 others. It's a comedy and documentary show with 18 episodes over 1 season. Bunheads is no longer running and has no plans to air new episodes or seasons. It has a high IMDb audience rating of 7.6 (7,767 votes) and was very well received by critics."/>
    <s v="1 Season"/>
    <x v="101"/>
  </r>
  <r>
    <x v="699"/>
    <x v="17"/>
    <x v="2"/>
    <n v="6.5"/>
    <n v="74"/>
    <x v="23"/>
    <s v="Smart but wholesome Betty embraces her unique appearance and independent attitude in the cutthroat world of New York fashion. With the help of her proud yet far-from-glamorous family from Queens, Betty will continue to have big dreams and deal with any obstacle in her own unique style.Ugly Betty featuring America Ferrera and Eric Mabius has one or more episodes streaming with subscription on Hulu, free on ABC, free on IMDb TV, and 5 others. It's a comedy and drama show with 85 episodes over 4 seasons. Ugly Betty is no longer running and has no plans to air new episodes or seasons. It has an average IMDb audience rating of 6.5 (39,043 votes) and was very well received by critics."/>
    <s v="4Seasons"/>
    <x v="17"/>
  </r>
  <r>
    <x v="700"/>
    <x v="14"/>
    <x v="1"/>
    <n v="6.7"/>
    <n v="74"/>
    <x v="1"/>
    <s v="Two teenagers from very different backgrounds awaken to newly acquired superpowers which mysteriously link them to one another.Marvel's Cloak &amp; Dagger featuring Aubrey Joseph and Olivia Holt has one or more episodes streaming with subscription on Hulu, available for purchase on iTunes, available for purchase on Google Play, and 4 others. It's an action &amp; adventure and drama show with 20 episodes over 2 seasons. Marvel's Cloak &amp; Dagger is no longer running and has no plans to air new episodes or seasons. It has a better than average IMDb audience rating of 6.7 (16,472 votes) and was well received by critics."/>
    <s v="2 Seasons"/>
    <x v="4"/>
  </r>
  <r>
    <x v="701"/>
    <x v="28"/>
    <x v="2"/>
    <n v="8"/>
    <n v="74"/>
    <x v="125"/>
    <s v="Al Bundy is an unsuccessful middle aged shoe salesman with a miserable life and an equally dysfunctional family. He hates his job, his wife is lazy, his son is dysfunctional (especially with women), and his daughter is dim-witted and promiscuous.Married... with Children featuring Ed O'Neill and Katey Sagal has one or more episodes streaming with subscription on Hulu, free on PlutoTV, available for purchase on iTunes, and 5 others. It's a comedy show with 262 episodes over 11 seasons. Married... with Children is no longer running and has no plans to air new episodes or seasons. It has a high IMDb audience rating of 8.0 (94,930 votes)."/>
    <s v="11 Seasons"/>
    <x v="17"/>
  </r>
  <r>
    <x v="702"/>
    <x v="19"/>
    <x v="0"/>
    <n v="7.9"/>
    <n v="74"/>
    <x v="22"/>
    <s v="Tara's multiple personalities include &quot;T&quot; the wild-child teenager, &quot;Buck&quot; the rough and tumble biker dude, and &quot;Alice&quot; the type-A homemaker. But with a family that loves her just the way she is, Tara never gives up hope that someday she can just be herself.United States of Tara featuring Toni Collette and John Corbett has one or more episodes streaming on Showtime, streaming with subscription on fuboTV, available for purchase on iTunes, and 4 others. It's a comedy and drama show with 36 episodes over 3 seasons. United States of Tara is no longer running and has no plans to air new episodes or seasons. It has a high IMDb audience rating of 7.9 (21,440 votes) and was well received by critics."/>
    <s v="3Seasons"/>
    <x v="147"/>
  </r>
  <r>
    <x v="703"/>
    <x v="14"/>
    <x v="1"/>
    <n v="7.2"/>
    <n v="74"/>
    <x v="13"/>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Manifest featuring Melissa Roxburgh and Parveen Kaur has one or more episodes streaming with subscription on Hulu, streaming via tv everywhere with NBC (Via Cable/Satellite Provider), free on NBC, and 8 others. It's a crime and drama show with 29 episodes over 2 seasons. Manifest is still airing with no announced date for the next episode or season. It has a better than average IMDb audience rating of 7.2 (20,927 votes) and was met with mixed reviews by critics."/>
    <s v="2Seasons"/>
    <x v="43"/>
  </r>
  <r>
    <x v="704"/>
    <x v="21"/>
    <x v="1"/>
    <n v="7.5"/>
    <n v="74"/>
    <x v="0"/>
    <s v="A young girl moves from Brooklyn to the small lakeside town her father left behind. While there, her dogged pursuit of the truth leads her to unearth a cold case that everyone in town, including her own father, tried hard to bury.Home Before Dark featuring Brooklynn Prince and Jim Sturgess has one or more episodes streaming with subscription on Apple TV+. It's a crime and drama show with 10 episodes over 1 season. Home Before Dark is still airing with no announced date for the next episode or season. It has a better than average IMDb audience rating of 7.5 (4,416 votes) and was well received by critics."/>
    <s v="1Season"/>
    <x v="52"/>
  </r>
  <r>
    <x v="705"/>
    <x v="6"/>
    <x v="0"/>
    <n v="8.1999999999999993"/>
    <n v="74"/>
    <x v="126"/>
    <s v="Tremé takes its name from a neighborhood of New Orleans and portrays life in the aftermath of the 2005 hurricane. Beginning three months after Hurricane Katrina, the residents of New Orleans, including musicians, chefs, Mardi Gras Indians, and other New Orleanians struggle to rebuild their lives, their homes and their unique culture.Treme featuring Khandi Alexander and Rob Brown has one or more episodes streaming with subscription on HBO MAX, streaming on HBO, available for purchase on iTunes, and 4 others. It's a drama and musical show with 36 episodes over 4 seasons. Treme is no longer running and has no plans to air new episodes or seasons. It has a high IMDb audience rating of 8.2 (13,249 votes) and was very well received by critics."/>
    <s v="4Seasons"/>
    <x v="1"/>
  </r>
  <r>
    <x v="706"/>
    <x v="18"/>
    <x v="2"/>
    <n v="7.7"/>
    <n v="74"/>
    <x v="6"/>
    <s v="The peacefulness of the Midsomer community is shattered by violent crimes, suspects are placed under suspicion, and it is up to a veteran DCI and his young sergeant to calmly and diligently eliminate the innocent and ruthlessly pursue the guilty.Midsomer Murders featuring Fiona Dolman and Neil Dudgeon has one or more episodes streaming on AcornTV, free on PlutoTV, free on Tubi, and 6 others. It's an action &amp; adventure and animation show with 128 episodes over 21 seasons. Midsomer Murders is still airing with no announced date for the next episode or season. It has a high IMDb audience rating of 7.7 (22,446 votes)."/>
    <s v="21Seasons"/>
    <x v="148"/>
  </r>
  <r>
    <x v="707"/>
    <x v="2"/>
    <x v="1"/>
    <n v="7.6"/>
    <n v="74"/>
    <x v="3"/>
    <s v="The adventures of Joanna Beauchamp and her two adult daughters Freya and Ingrid -- both of whom unknowingly are their family's next generation of witches -- who lead seemingly quiet, uneventful modern day lives in Long Island's secluded seaside town of East Haven. When Freya becomes engaged to a young, wealthy newcomer, a series of events forces Joanna to admit to her daughters they are, in fact, powerful and immortal witches.Witches of East End featuring Julia Ormond and Jenna Dewan has one or more episodes streaming with subscription on Hulu, free on IMDb TV, available for purchase on iTunes, and 4 others. It's a comedy and drama show with 23 episodes over 2 seasons. Witches of East End is no longer running and has no plans to air new episodes or seasons. It has a high IMDb audience rating of 7.6 (23,644 votes) and was well received by critics."/>
    <s v="2Seasons"/>
    <x v="17"/>
  </r>
  <r>
    <x v="708"/>
    <x v="43"/>
    <x v="2"/>
    <n v="7.4"/>
    <n v="74"/>
    <x v="127"/>
    <s v="Dinosaurs follows the life of a family of dinosaurs, living in a modern world. They have TV's, fridges, microwaves, and every modern convenience.Dinosaurs featuring Sally Struthers and Stuart Pankin has one or more episodes available for purchase on iTunes, available for purchase on Google Play, available for purchase on Prime Video, and 3 others. It's a children and comedy show with 67 episodes over 4 seasons. Dinosaurs is no longer running and has no plans to air new episodes or seasons. It has a better than average IMDb audience rating of 7.4 (15,733 votes) and was very well received by critics."/>
    <s v="4Seasons"/>
    <x v="80"/>
  </r>
  <r>
    <x v="709"/>
    <x v="14"/>
    <x v="0"/>
    <n v="8"/>
    <n v="74"/>
    <x v="5"/>
    <s v="While Osama bin Laden and Al-Qaeda become a global threat, the rivalry between the CIA and FBI inadvertently sets the stage for the tragedy of 9/11 and the Iraq War.The Looming Tower featuring Jeff Daniels and Tahar Rahim has one or more episodes streaming with subscription on Hulu, available for purchase on iTunes, available for purchase on Google Play, and 3 others. It's a drama and history show with 11 episodes over 1 season. The Looming Tower is no longer running and has no plans to air new episodes or seasons. It has a high IMDb audience rating of 8.0 (10,003 votes) and was well received by critics."/>
    <s v="1Season"/>
    <x v="4"/>
  </r>
  <r>
    <x v="710"/>
    <x v="7"/>
    <x v="1"/>
    <n v="7.4"/>
    <n v="74"/>
    <x v="19"/>
    <s v="A romantic comedy about two best friends who love each other -- in slightly different ways. After numerous failed attempts to become popular, the girls are mistakenly outed as lesbians, which launches them to instant celebrity status. Seduced by their newfound fame, Karma and Amy decide to keep up their romantic ruse.Faking It featuring Rita Volk and Katie Stevens has one or more episodes available for purchase on iTunes, available for purchase on Google Play, available for purchase on Prime Video, and 2 others. It's a comedy and drama show with 38 episodes over 3 seasons. Faking It is no longer running and has no plans to air new episodes or seasons. It has a better than average IMDb audience rating of 7.4 (13,668 votes) and was well received by critics."/>
    <s v="3Seasons"/>
    <x v="80"/>
  </r>
  <r>
    <x v="711"/>
    <x v="1"/>
    <x v="0"/>
    <n v="7.7"/>
    <n v="74"/>
    <x v="128"/>
    <s v="Mildred Pierce depicts an overprotective, self-sacrificing mother during the Great Depression who finds herself separated from her husband, opening a restaurant of her own and falling in love with a man, all the while trying to earn her spoiled, narcissistic daughter's love and respect.Mildred Pierce featuring Kate Winslet and Brían F. O'Byrne has one or more episodes streaming with subscription on HBO MAX, streaming on HBO, available for purchase on iTunes, and 4 others. It's a drama show with 5 episodes over 1 season. Mildred Pierce is no longer running and has no plans to air new episodes or seasons. It has a high IMDb audience rating of 7.7 (18,576 votes) and was well received by critics."/>
    <s v="1Season"/>
    <x v="1"/>
  </r>
  <r>
    <x v="712"/>
    <x v="5"/>
    <x v="2"/>
    <n v="7.4"/>
    <n v="74"/>
    <x v="55"/>
    <s v="The early life of child genius Sheldon Cooper, later seen in The Big Bang Theory.Young Sheldon featuring Zoe Perry and Raegan Revord has one or more episodes streaming with subscription on HBO MAX, streaming on CBS All Access, free on CBS, and 6 others. It's a comedy and family show with 65 episodes over 3 seasons. Young Sheldon is still airing with no announced date for the next episode or season. It has a better than average IMDb audience rating of 7.4 (31,379 votes)."/>
    <s v="3Seasons"/>
    <x v="149"/>
  </r>
  <r>
    <x v="713"/>
    <x v="23"/>
    <x v="1"/>
    <n v="7.7"/>
    <n v="74"/>
    <x v="126"/>
    <s v="Rayna Jaymes and Juliette Barnes face personal and professional challenges as they navigate their paths as artists and individuals. Surrounding them, and often complicating their lives, are their family, friends and, in some cases, lovers, as well as the up-and-coming performers and songwriters trying to get ahead in the business.Nashville featuring Hayden Panettiere and Clare Bowen has one or more episodes streaming with subscription on Hulu, streaming via tv everywhere with CMT (Via Cable/Satellite Provider), available for purchase on iTunes, and 5 others. It's a drama and musical show with 124 episodes over 6 seasons. Nashville is no longer running and has no plans to air new episodes or seasons. It has a high IMDb audience rating of 7.7 (22,710 votes) and was very well received by critics."/>
    <s v="6Seasons"/>
    <x v="4"/>
  </r>
  <r>
    <x v="180"/>
    <x v="47"/>
    <x v="2"/>
    <n v="8.4"/>
    <n v="74"/>
    <x v="17"/>
    <s v="The adventures of a Time Lord—a time-travelling humanoid alien known as the Doctor—who explores the universe in his TARDIS, a sentient time-travelling space ship. Its exterior appears as a blue British police box, which was a common sight in Britain in 1963 when the series first aired. Along with a succession of companions, the Doctor faces a variety of foes while working to save civilisations, help ordinary people, and right wrongs.Doctor Who featuring Sylvester McCoy and Sophie Aldred has one or more episodes streaming with subscription on BritBox, available for purchase on iTunes, available for purchase on Google Play, and 4 others. It's an action &amp; adventure and animation show with 722 episodes over 27 seasons. Doctor Who is no longer running and has no plans to air new episodes or seasons. It has a high IMDb audience rating of 8.4 (34,685 votes) and was well received by critics."/>
    <s v="27 Seasons"/>
    <x v="77"/>
  </r>
  <r>
    <x v="714"/>
    <x v="4"/>
    <x v="0"/>
    <n v="8"/>
    <n v="74"/>
    <x v="0"/>
    <s v="Loosely based on infamous crime boss Bumpy Johnson, who in the early 1960s returned from ten years in prison to find the neighborhood he once ruled in shambles. With the streets controlled by the Italian mob, Bumpy attempts to regain his piece of Harlem.Godfather of Harlem featuring Forest Whitaker and Vincent D'Onofrio has one or more episodes streaming on Epix, available for purchase on iTunes, available for purchase on Google Play, and 2 others. It's a crime and drama show with 10 episodes over 1 season. Godfather of Harlem is still airing with no announced date for the next episode or season. It has a high IMDb audience rating of 8.0 (5,015 votes) and was very well received by critics."/>
    <s v="1Season"/>
    <x v="150"/>
  </r>
  <r>
    <x v="715"/>
    <x v="14"/>
    <x v="0"/>
    <n v="8.3000000000000007"/>
    <n v="74"/>
    <x v="38"/>
    <s v="Ray Shoesmith is a father, ex-husband, boyfriend and best friend: tough roles to juggle in the modern age. Even harder when you’re a criminal for hire.Mr Inbetween featuring Scott Ryan and Brooke Satchwell has one or more episodes streaming with subscription on Hulu, available for purchase on iTunes, available for purchase on Google Play, and 3 others. It's a comedy and crime show with 17 episodes over 2 seasons. Mr Inbetween is still airing with no announced date for the next episode or season. It has a high IMDb audience rating of 8.3 (5,042 votes) and was very well received by critics."/>
    <s v="2Seasons"/>
    <x v="4"/>
  </r>
  <r>
    <x v="716"/>
    <x v="7"/>
    <x v="0"/>
    <n v="7.9"/>
    <n v="74"/>
    <x v="22"/>
    <s v="A coming-of-age comedy set in the &quot;go-go&quot; 80s that is equal parts hijinks and heartfelt about a college student enjoying a last hurrah before summer comes to an end--and the future begins.David Myers, an assistant tennis pro at the Red Oaks Country Club in suburban New Jersey in 1985, is both reeling from his father's heart attack and conflicted about what major to declare in the fall. While there, he meets a colorful cast of misfit co-workers and wealthy club members including an alluring art student named Skye and her corporate raider father Getty.Red Oaks featuring Craig Roberts and Alexandra Socha has one or more episodes streaming with subscription on Prime Video. It's a comedy and drama show with 26 episodes over 3 seasons. Red Oaks is no longer running and has no plans to air new episodes or seasons. It has a high IMDb audience rating of 7.9 (9,137 votes) and was very well received by critics."/>
    <s v="3Seasons"/>
    <x v="3"/>
  </r>
  <r>
    <x v="717"/>
    <x v="3"/>
    <x v="1"/>
    <n v="8.5"/>
    <n v="74"/>
    <x v="11"/>
    <s v="Shigeo Kageyama, a.k.a. &quot;Mob,&quot;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Mob Psycho 100 featuring Setsuo Ito and Takahiro Sakurai has one or more episodes streaming with subscription on HBO MAX, streaming with subscription on Crunchyroll, free on Crunchyroll, and 5 others. It's an action &amp; adventure and animation show with 26 episodes over 2 seasons. Mob Psycho 100 is no longer running and has no plans to air new episodes or seasons. It has a high IMDb audience rating of 8.5 (12,392 votes)."/>
    <s v="2Seasons"/>
    <x v="151"/>
  </r>
  <r>
    <x v="718"/>
    <x v="17"/>
    <x v="1"/>
    <n v="8.6"/>
    <n v="74"/>
    <x v="54"/>
    <s v="In an era where aliens have invaded and taken over feudal Tokyo, an unemployed samurai finds work however he can.Gintama featuring Yuko Kaida and Tomokazu Sugita has one or more episodes free on Crunchyroll, available for purchase on iTunes, available for purchase on Google Play, and 2 others. It's an action &amp; adventure and animation show with 452 episodes over 11 seasons. Gintama is still airing with no announced date for the next episode or season. It has a high IMDb audience rating of 8.6 (6,018 votes)."/>
    <s v="11Seasons"/>
    <x v="22"/>
  </r>
  <r>
    <x v="719"/>
    <x v="3"/>
    <x v="1"/>
    <n v="7.5"/>
    <n v="74"/>
    <x v="33"/>
    <s v="Bob Lee Swagger is an expert marksman living in exile who is coaxed back into action after learning of a plot to kill the president.Shooter featuring Ryan Phillippe and Shantel VanSanten has one or more episodes streaming with subscription on Netflix, available for purchase on iTunes, available for purchase on Google Play, and 3 others. It's an action &amp; adventure and drama show with 31 episodes over 3 seasons. Shooter is no longer running and has no plans to air new episodes or seasons. It has a better than average IMDb audience rating of 7.5 (30,008 votes) and was not well received by critics."/>
    <s v="3Seasons"/>
    <x v="0"/>
  </r>
  <r>
    <x v="720"/>
    <x v="23"/>
    <x v="1"/>
    <n v="8.3000000000000007"/>
    <n v="74"/>
    <x v="23"/>
    <s v="Celia and Alan are both widowed and in their seventies. When their respective grandsons put their details on Facebook, they rediscover a passionate relationship that started over sixty years ago.Last Tango in Halifax featuring Anne Reid and Derek Jacobi has one or more episodes streaming with subscription on Netflix, available for purchase on iTunes, available for purchase on Google Play, and 3 others. It's a comedy and drama show with 26 episodes over 5 seasons. Last Tango in Halifax is still airing with no announced date for the next episode or season. It has a high IMDb audience rating of 8.3 (4,752 votes) and was very well received by critics."/>
    <s v="5Seasons"/>
    <x v="0"/>
  </r>
  <r>
    <x v="721"/>
    <x v="2"/>
    <x v="0"/>
    <n v="7"/>
    <n v="74"/>
    <x v="1"/>
    <s v="In the near future, planet Earth is permanently altered following the sudden—and tumultuous—arrival of seven unique alien races. In the boom-town of Defiance, the newly-formed civilization of humans and aliens must learn to co-exist peacefully.Defiance featuring Grant Bowler and Julie Benz has one or more episodes available for purchase on iTunes, available for purchase on Google Play, available for purchase on Prime Video, and 3 others. It's an action &amp; adventure and crime show with 39 episodes over 3 seasons. Defiance is no longer running and has no plans to air new episodes or seasons. It has a better than average IMDb audience rating of 7.0 (40,093 votes) and was well received by critics."/>
    <s v="3 Seasons"/>
    <x v="80"/>
  </r>
  <r>
    <x v="722"/>
    <x v="48"/>
    <x v="2"/>
    <n v="8.4"/>
    <n v="74"/>
    <x v="101"/>
    <s v="The epic tale of celebrated Pulitzer-prize winning author Alex Haley's ancestors as portrayed in the acclaimed twelve hour mini-series Roots, was first told in his 1976 bestseller Roots: The Saga of an American Family. The docu-drama covers a period of history that begins in mid-1700s Gambia, West Africa and concludes during post-Civil War United States, over 100 years later. This 1977 miniseries eventually won 9 Emmy awards, a Golden Globe award, and a Peabody award, and still stands as the most watched miniseries in U.S. history.Roots featuring Ben Vereen and LeVar Burton has one or more episodes available for purchase on Google Play, available for purchase on Prime Video, and available for purchase on YouTube. It's a biography and drama show with 8 episodes over 1 season. Roots is no longer running and has no plans to air new episodes or seasons. It has a high IMDb audience rating of 8.4 (15,794 votes) and was well received by critics."/>
    <s v="1Season"/>
    <x v="80"/>
  </r>
  <r>
    <x v="723"/>
    <x v="8"/>
    <x v="1"/>
    <n v="7.5"/>
    <n v="74"/>
    <x v="12"/>
    <s v="Invasion is an American science fiction television series that aired on ABC for only one season beginning in September 21, 2005. Somewhat similar to Invasion of the Body Snatchers, the show told the story of the aftermath of a hurricane in which water-based creatures infiltrate a small Florida town and begin to take over the bodies of the town's inhabitants through a cloning process. The show was produced by Shaun Cassidy Productions and Warner Bros. Television. Due to Hurricane Katrina in 2005 and the aftermath in the southern United States, early on-air promotions were quickly pulled by ABC. The advertising then switched emphasis completely to the alien invasion aspect of the series, while the hurricane received no mention. The premiere was also preceded with a warning that the show featured images of a fictional hurricane that viewers could be sensitive to.Invasion featuring Eddie Cibrian and Lisa Sheridan has one or more episodes free on IMDb TV, available for purchase on iTunes, available for purchase on Google Play, and 2 others. It's a drama and fantasy show with 33 episodes over 1 season. Invasion is no longer running and has no plans to air new episodes or seasons. It has a better than average IMDb audience rating of 7.5 (11,603 votes) and was very well received by critics."/>
    <s v="1 Season"/>
    <x v="22"/>
  </r>
  <r>
    <x v="724"/>
    <x v="19"/>
    <x v="0"/>
    <n v="7.9"/>
    <n v="74"/>
    <x v="10"/>
    <s v="Jonathan Ames, a young Brooklyn writer, is feeling lost. He's just gone through a painful break-up, thanks in part to his drinking, can't write his second novel, and carouses too much with his magazine editor. Rather than face reality, Jonathan turns instead to his fantasies — moonlighting as a private detective — because he wants to be a hero and a man of action.Bored to Death featuring Jason Schwartzman and Zach Galifianakis has one or more episodes streaming with subscription on HBO MAX, streaming on HBO, available for purchase on iTunes, and 4 others. It's a comedy and crime show with 24 episodes over 3 seasons. Bored to Death is no longer running and has no plans to air new episodes or seasons. It has a high IMDb audience rating of 7.9 (31,143 votes) and was well received by critics."/>
    <s v="3Seasons"/>
    <x v="1"/>
  </r>
  <r>
    <x v="725"/>
    <x v="4"/>
    <x v="0"/>
    <n v="8"/>
    <n v="74"/>
    <x v="38"/>
    <s v="The origin story of Bruce Wayne's legendary butler, Alfred Pennyworth, a former British SAS soldier who forms a security company and goes to work with Thomas Wayne, Bruce's billionaire father, in 1960s London.Pennyworth featuring Jack Bannon and Ben Aldridge has one or more episodes streaming on Epix, available for purchase on iTunes, available for purchase on Google Play, and 3 others. It's an action &amp; adventure and crime show with 10 episodes over 1 season. Pennyworth is still airing with no announced date for the next episode or season. It has a high IMDb audience rating of 8.0 (7,278 votes) and was well received by critics."/>
    <s v="1Season"/>
    <x v="150"/>
  </r>
  <r>
    <x v="726"/>
    <x v="8"/>
    <x v="2"/>
    <n v="6.3"/>
    <n v="74"/>
    <x v="3"/>
    <s v="Newlywed Melinda Gordon tries to help the dead communicate with loved ones, 'but sometimes the messages she receives are intense and confusing.' Most of Melinda's efforts involve resolving conflicts that are preventing the spirits from passing over. The sentimental drama is 'inspired by the work of medium James Van Praagh.'Ghost Whisperer featuring Jennifer Love Hewitt and Camryn Manheim has one or more episodes streaming with subscription on Prime Video, streaming with subscription on Hulu, available for purchase on iTunes, and 4 others. It's a drama and fantasy show with 107 episodes over 5 seasons. Ghost Whisperer is no longer running and has no plans to air new episodes or seasons. It has an average IMDb audience rating of 6.3 (42,220 votes)."/>
    <s v="5Seasons"/>
    <x v="15"/>
  </r>
  <r>
    <x v="727"/>
    <x v="8"/>
    <x v="1"/>
    <n v="7.6"/>
    <n v="74"/>
    <x v="0"/>
    <s v="Deputy Police Chief Brenda Jean Johnson transfers from Atlanta to LA to head up a special unit of the LAPD that handles sensitive, high-profile murder cases. Johnson's quirky personality and hard-nosed approach often rubs her colleagues the wrong way, but her reputation as one of the world's best interrogator eventually wins over even her toughest critics.The Closer featuring Kyra Sedgwick and J.K. Simmons has one or more episodes streaming with subscription on HBO MAX, available for purchase on Google Play, available for purchase on Prime Video, and 3 others. It's a crime and drama show with 109 episodes over 7 seasons. The Closer is no longer running and has no plans to air new episodes or seasons. It has a high IMDb audience rating of 7.6 (22,251 votes) and was well received by critics."/>
    <s v="7Seasons"/>
    <x v="57"/>
  </r>
  <r>
    <x v="728"/>
    <x v="24"/>
    <x v="1"/>
    <n v="7.7"/>
    <n v="74"/>
    <x v="28"/>
    <s v="Set in the fictional small town of Tree Hill, North Carolina, this teen-driven drama tells the story of two half brothers, who share a last name and nothing else. Brooding, blue-collar Lucas is a talented street-side basketball player, but his skills are appreciated only by his friends at the river court. Popular, affluent Nathan basks in the hero-worship of the town, as the star of his high school team. And both boys are the son of former college ball player, Dan Scott, whose long ago choice to abandon Lucas and his mother Karen, will haunt him long into his life with wife Deb, and their son Nathan.One Tree Hill featuring James Lafferty and Bethany Joy Lenz has one or more episodes streaming with subscription on Hulu, available for purchase on iTunes, available for purchase on Google Play, and 4 others. It's a drama and romance show with 187 episodes over 9 seasons. One Tree Hill is no longer running and has no plans to air new episodes or seasons. It has a high IMDb audience rating of 7.7 (70,246 votes)."/>
    <s v="9Seasons"/>
    <x v="4"/>
  </r>
  <r>
    <x v="729"/>
    <x v="1"/>
    <x v="2"/>
    <n v="8.1999999999999993"/>
    <n v="74"/>
    <x v="82"/>
    <s v="The life of Gumball Watterson, a 12-year old cat who attends middle school in Elmore. Accompanied by his pet, adoptive brother, and best friend Darwin Watterson, he frequently finds himself involved in various shenanigans around the city, during which he interacts with various family members: Anais, Richard, and Nicole Watterson, and other various citizens.The Amazing World of Gumball featuring Sandra Dickinson and Kerry Shale has one or more episodes streaming with subscription on HBO MAX, streaming with subscription on Hulu, streaming via tv everywhere with Cartoon Network, and 4 others. It's an action &amp; adventure and animation show with 258 episodes over 8 seasons. The Amazing World of Gumball is no longer running and has no plans to air new episodes or seasons. It has a high IMDb audience rating of 8.2 (20,017 votes)."/>
    <s v="8 Seasons"/>
    <x v="142"/>
  </r>
  <r>
    <x v="730"/>
    <x v="4"/>
    <x v="2"/>
    <n v="7.2"/>
    <n v="74"/>
    <x v="1"/>
    <s v="A widowed mom sets out to solve the mystery surrounding her young son's emerging superpowers while keeping his extraordinary gifts under wraps.Raising Dion featuring Alisha Wainwright and Ja'Siah Young has one or more episodes streaming with subscription on Netflix. It's an action &amp; adventure and drama show with 10 episodes over 1 season. Raising Dion is still airing with no announced date for the next episode or season. It has a better than average IMDb audience rating of 7.2 (8,170 votes) and was well received by critics."/>
    <s v="1Season"/>
    <x v="0"/>
  </r>
  <r>
    <x v="731"/>
    <x v="14"/>
    <x v="1"/>
    <n v="7.5"/>
    <n v="74"/>
    <x v="13"/>
    <s v="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Legacies featuring Danielle Rose Russell and Aria Shahghasemi has one or more episodes streaming with subscription on Netflix, free on The CW, available for purchase on iTunes, and 4 others. It's an action &amp; adventure and drama show with 33 episodes over 2 seasons. Legacies is still airing with no announced date for the next episode or season. It has a better than average IMDb audience rating of 7.5 (16,739 votes)."/>
    <s v="2Seasons"/>
    <x v="21"/>
  </r>
  <r>
    <x v="732"/>
    <x v="14"/>
    <x v="4"/>
    <n v="7.4"/>
    <n v="74"/>
    <x v="12"/>
    <s v="Moscow in a not so distant future where human beings share their daily lives with robots. Georgy, a forensic who has a robot assistant, suddenly finds himself caught up in the first murder committed by a new kind of experimental humanoid.Better Than Us featuring Paulina Andreeva and Kirill Käro has one or more episodes streaming with subscription on Netflix. It's a drama and fantasy show with 24 episodes over 2 seasons. Better Than Us is still airing with no announced date for the next episode or season. It has a better than average IMDb audience rating of 7.4 (5,526 votes) and was very well received by critics."/>
    <s v="2Seasons"/>
    <x v="0"/>
  </r>
  <r>
    <x v="733"/>
    <x v="3"/>
    <x v="0"/>
    <n v="7.8"/>
    <n v="73"/>
    <x v="22"/>
    <s v="Norsemen is an epic and humorous drama series set in the Viking Age. The residents of an 8th-century Viking village experience political rivalry, social change and innovations that upend their culture and way of life.Norsemen featuring Kåre Conradi and Nils Jørgen Kaalstad has one or more episodes streaming with subscription on Netflix, and available for purchase on iTunes. It's a comedy and drama show with 18 episodes over 3 seasons. Norsemen is still airing with no announced date for the next episode or season. It has a high IMDb audience rating of 7.8 (13,363 votes)."/>
    <s v="3Seasons"/>
    <x v="0"/>
  </r>
  <r>
    <x v="734"/>
    <x v="11"/>
    <x v="0"/>
    <n v="8.1"/>
    <n v="73"/>
    <x v="38"/>
    <s v="Mayor Nick Wasicsko took office in 1987 during Yonkers' worst crisis when federal courts ordered public housing to be built in the white, middle class side of town, dividing the city in a bitter battle fueled by fear, racism, murder and politics.Show Me a Hero featuring Oscar Isaac and Bob Balaban has one or more episodes streaming with subscription on HBO MAX, streaming on HBO, available for purchase on iTunes, and 4 others. It's a crime and drama show with 6 episodes over 1 season. Show Me a Hero is no longer running and has no plans to air new episodes or seasons. It has a high IMDb audience rating of 8.1 (9,267 votes) and was very well received by critics."/>
    <s v="1Season"/>
    <x v="1"/>
  </r>
  <r>
    <x v="735"/>
    <x v="49"/>
    <x v="2"/>
    <n v="8.3000000000000007"/>
    <n v="73"/>
    <x v="6"/>
    <s v="The Avengers is a British television series created in the 1960s. The Avengers initially focused on Dr. David Keel and his assistant John Steed. Hendry left after the first series and Steed became the main character, partnered with a succession of assistants. Steed's most famous assistants were intelligent, stylish and assertive women: Cathy Gale, Emma Peel, and later Tara King. Later episodes increasingly incorporated elements of science fiction and fantasy, parody and British eccentricity.The Avengers featuring Patrick Macnee and Linda Thorson has one or more episodes free on Tubi, free on VUDU, available for purchase on iTunes, and 4 others. It's an action &amp; adventure and comedy show with 207 episodes over 8 seasons. The Avengers is no longer running and has no plans to air new episodes or seasons. It has a high IMDb audience rating of 8.3 (6,491 votes)."/>
    <s v="8 Seasons"/>
    <x v="22"/>
  </r>
  <r>
    <x v="736"/>
    <x v="14"/>
    <x v="1"/>
    <n v="7.6"/>
    <n v="73"/>
    <x v="36"/>
    <s v="A tough, brilliant senior resident guides an idealistic young doctor through his first day, pulling back the curtain on what really happens, both good and bad, in modern-day medicine.The Resident featuring Matt Czuchry and Manish Dayal has one or more episodes streaming with subscription on Hulu, streaming via tv everywhere with FOX (Via Cable/Satellite Provider), free on FOX, and 6 others. It's a drama show with 57 episodes over 3 seasons. The Resident is still airing with no announced date for the next episode or season. It has a high IMDb audience rating of 7.6 (17,467 votes)."/>
    <s v="3 Seasons"/>
    <x v="92"/>
  </r>
  <r>
    <x v="737"/>
    <x v="2"/>
    <x v="2"/>
    <n v="8.1"/>
    <n v="73"/>
    <x v="129"/>
    <s v="Before there were parenting blogs, trophies for showing up, and peanut allergies, there was a simpler time called the '80s. For geeky 11-year old Adam these were his wonder years and he faced them armed with a video camera to capture all the crazy. The Goldbergs are a loving family like any other, just with a lot more yelling.The Goldbergs featuring Jeff Garlin and Wendi McLendon-Covey has one or more episodes streaming with subscription on Hulu, streaming via tv everywhere with TV Land (Via Cable/Satellite Provider), free on ABC, and 4 others. It's a comedy show with 167 episodes over 7 seasons. The Goldbergs has a new episode airing on October 21st, 2020 (PDT). It has a high IMDb audience rating of 8.1 (30,195 votes)."/>
    <s v="7Seasons"/>
    <x v="110"/>
  </r>
  <r>
    <x v="738"/>
    <x v="14"/>
    <x v="0"/>
    <n v="6.8"/>
    <n v="73"/>
    <x v="36"/>
    <s v="Fed up with their families and classmates, two teen girls from a wealthy part of Rome are drawn to the city's underworld and start leading double lives.Baby featuring Alice Pagani and Beatrice Bartoni has one or more episodes streaming with subscription on Netflix. It's a drama show with 18 episodes over 3 seasons. Baby is still airing with no announced date for the next episode or season. It has a better than average IMDb audience rating of 6.8 (6,713 votes) and was well received by critics."/>
    <s v="3 Seasons"/>
    <x v="0"/>
  </r>
  <r>
    <x v="739"/>
    <x v="4"/>
    <x v="1"/>
    <n v="7.9"/>
    <n v="73"/>
    <x v="10"/>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re faced with standard drug empire problems: meeting demand, quality control, and, most importantly: not getting caught.How to Sell Drugs Online (Fast) featuring Maximilian Mundt and Lena Klenke has one or more episodes streaming with subscription on Netflix. It's a comedy and crime show with 12 episodes over 2 seasons. How to Sell Drugs Online (Fast) is still airing with no announced date for the next episode or season. It has a high IMDb audience rating of 7.9 (16,875 votes)."/>
    <s v="2Seasons"/>
    <x v="0"/>
  </r>
  <r>
    <x v="740"/>
    <x v="14"/>
    <x v="0"/>
    <n v="6.3"/>
    <n v="73"/>
    <x v="3"/>
    <s v="After a brutal virus wipes out most of the population, two young siblings embark on a perilous search for safety. A Scandinavian thriller series.The Rain featuring Alba August and Lucas Lynggaard Tønnesen has one or more episodes streaming with subscription on Netflix. It's a drama and fantasy show with 22 episodes over 3 seasons. The Rain is no longer running and has no plans to air new episodes or seasons. It has an average IMDb audience rating of 6.3 (28,496 votes)."/>
    <s v="3Seasons"/>
    <x v="0"/>
  </r>
  <r>
    <x v="741"/>
    <x v="25"/>
    <x v="2"/>
    <n v="6.7"/>
    <n v="73"/>
    <x v="17"/>
    <s v="A much more lavish version of the popular Superman television series which had first aired forty years earlier, Lois &amp; Clark focused more on the Man of Steel's early adult years in Metropolis. With the unknowing help of Lois Lane, Clark Kent created Superman there in Metropolis after finding work at the world-famous Daily Planet newspaper, where he meets fellow reporter Lois Lane.Lois &amp; Clark: The New Adventures of Superman featuring Dean Cain and Teri Hatcher has one or more episodes streaming with subscription on DC Universe, available for purchase on iTunes, available for purchase on Google Play, and 3 others. It's an action &amp; adventure and comedy show with 88 episodes over 4 seasons. Lois &amp; Clark: The New Adventures of Superman is no longer running and has no plans to air new episodes or seasons. It has a better than average IMDb audience rating of 6.7 (20,723 votes) and was well received by critics."/>
    <s v="4Seasons"/>
    <x v="46"/>
  </r>
  <r>
    <x v="742"/>
    <x v="21"/>
    <x v="0"/>
    <n v="7.1"/>
    <n v="73"/>
    <x v="60"/>
    <s v="Stories from survivors fuel this docuseries examining how convicted sex offender Jeffrey Epstein used his wealth and power to carry out his abuses.Jeffrey Epstein: Filthy Rich featuring Jeffrey Epstein has one or more episodes streaming with subscription on Netflix. It's a crime and documentary show with 4 episodes over 1 season. Jeffrey Epstein: Filthy Rich is no longer running and has no plans to air new episodes or seasons. It has a better than average IMDb audience rating of 7.1 (14,003 votes) and was well received by critics."/>
    <s v="1Season"/>
    <x v="0"/>
  </r>
  <r>
    <x v="743"/>
    <x v="3"/>
    <x v="0"/>
    <n v="8.6"/>
    <n v="73"/>
    <x v="117"/>
    <s v="Letterkenny follows Wayne, a good-ol’ country boy in Letterkenny, Ontario trying to protect his homegrown way of life on the farm, against a world that is constantly evolving around him. The residents of Letterkenny belong to one of three groups: Hicks, Skids, and Hockey Players. The three groups are constantly feuding with each other over seemingly trivial matters; often ending with someone getting their ass kicked.Letterkenny featuring Jared Keeso and Nathan Dales has one or more episodes streaming with subscription on Hulu. It's a comedy show with 52 episodes over 8 seasons. Letterkenny is still airing with no announced date for the next episode or season. It has a high IMDb audience rating of 8.6 (12,022 votes)."/>
    <s v="8 Seasons"/>
    <x v="4"/>
  </r>
  <r>
    <x v="744"/>
    <x v="24"/>
    <x v="2"/>
    <n v="8.3000000000000007"/>
    <n v="73"/>
    <x v="113"/>
    <s v="MythBusters is a science entertainment television program created and produced by Australia's Beyond Television Productions for the Discovery Channel. The show's hosts, special effects experts Adam Savage and Jamie Hyneman, use elements of the scientific method to test the validity of rumors, myths, movie scenes, adages, Internet videos, and news stories.MythBusters featuring Robert Lee and Brian Louden has one or more episodes streaming with subscription on Hulu, streaming via tv everywhere with Science GO, streaming via tv everywhere with Discovery GO, and 5 others. It's a documentary and mystery show with 341 episodes over 24 seasons. MythBusters is no longer running and has no plans to air new episodes or seasons. It has a high IMDb audience rating of 8.3 (49,790 votes)."/>
    <s v="24 Seasons"/>
    <x v="152"/>
  </r>
  <r>
    <x v="745"/>
    <x v="3"/>
    <x v="1"/>
    <n v="8.5"/>
    <n v="73"/>
    <x v="54"/>
    <s v="Satoru Fujinuma is a struggling manga artist who has the ability to turn back time and prevent deaths. When his mother is killed he turns back time to solve the mystery, but ends up back in elementary school, just before the disappearance of his classmate Kayo.ERASED featuring Shinnosuke Mitsushima and Tao Tsuchiya has one or more episodes streaming with subscription on HBO MAX, streaming with subscription on Hulu, free on Crunchyroll, and 1 other. It's an animation and anime show with 12 episodes over 1 season. ERASED is no longer running and has no plans to air new episodes or seasons. It has a high IMDb audience rating of 8.5 (24,697 votes)."/>
    <s v="1 Season"/>
    <x v="2"/>
  </r>
  <r>
    <x v="746"/>
    <x v="21"/>
    <x v="0"/>
    <n v="7.3"/>
    <n v="73"/>
    <x v="3"/>
    <s v="An alternate American history told through the eyes of a working-class Jewish family in New Jersey, as they watch the political rise of Charles Lindbergh, an aviator-hero and xenophobic populist, who becomes president and turns the nation toward fascism.The Plot Against America featuring Winona Ryder and John Turturro has one or more episodes streaming with subscription on HBO MAX, streaming on HBO, and available for purchase on VUDU. It's a drama and fantasy show with 6 episodes over 1 season. The Plot Against America is no longer running and has no plans to air new episodes or seasons. It has a better than average IMDb audience rating of 7.3 (6,327 votes) and was well received by critics."/>
    <s v="1Season"/>
    <x v="1"/>
  </r>
  <r>
    <x v="747"/>
    <x v="43"/>
    <x v="2"/>
    <n v="8.1999999999999993"/>
    <n v="73"/>
    <x v="130"/>
    <s v="Eerie, Indiana is an American television series that originally aired on NBC from 1991 to 1992. The series was created by José Rivera and Karl Schaefer, with Joe Dante serving as creative consultant. A total of nineteen episodes were produced. The final episode aired for the first time in 1993, when the series was syndicated on The Disney Channel. In 1997, the show generated a new fan base, when Fox's children's programming block Fox Kids aired the series, gaining something of a cult following despite its short run. The renewed popularity in the series, encouraged Fox to produce a spin-off Eerie, Indiana: The Other Dimension, lasting only one season in 1998.Eerie, Indiana featuring Omri Katz and Mary-Margaret Humes has one or more episodes streaming with subscription on Prime Video, available for purchase on iTunes, available for purchase on Google Play, and 2 others. It's an action &amp; adventure and children show with 34 episodes over 2 seasons. Eerie, Indiana is no longer running and has no plans to air new episodes or seasons. It has a high IMDb audience rating of 8.2 (4,911 votes) and was very well received by critics."/>
    <s v="2Seasons"/>
    <x v="3"/>
  </r>
  <r>
    <x v="748"/>
    <x v="23"/>
    <x v="0"/>
    <n v="7.4"/>
    <n v="73"/>
    <x v="22"/>
    <s v="Charming, fast talking Marty Kaan and his crack team of management consultants know how to play the corporate game better than anyone, by using every dirty trick in the book to woo powerful CEOs and close huge deals. In the board rooms, barrooms, and bedrooms of the power elite, corruption is business as usual and everyone's out for themselves first. Nothing is sacred in this scathing, irreverent satire of corporate America today.House of Lies featuring Don Cheadle and Kristen Bell has one or more episodes streaming on Showtime, streaming with subscription on fuboTV, available for purchase on iTunes, and 3 others. It's a comedy and drama show with 58 episodes over 5 seasons. House of Lies is no longer running and has no plans to air new episodes or seasons. It has a better than average IMDb audience rating of 7.4 (23,584 votes) and was well received by critics."/>
    <s v="5Seasons"/>
    <x v="147"/>
  </r>
  <r>
    <x v="749"/>
    <x v="11"/>
    <x v="1"/>
    <n v="7.1"/>
    <n v="73"/>
    <x v="66"/>
    <s v="The super-charged comedy-horror series is a modern take on the classic whodunit with a killer cast.Scream Queens featuring Emma Roberts and Taylor Lautner has one or more episodes streaming with subscription on Hulu, available for purchase on iTunes, available for purchase on Google Play, and 3 others. It's a comedy and crime show with 23 episodes over 2 seasons. Scream Queens is no longer running and has no plans to air new episodes or seasons. It has a better than average IMDb audience rating of 7.1 (33,739 votes) and was well received by critics."/>
    <s v="2Seasons"/>
    <x v="4"/>
  </r>
  <r>
    <x v="750"/>
    <x v="7"/>
    <x v="0"/>
    <n v="7.8"/>
    <n v="73"/>
    <x v="19"/>
    <s v="An LA family with serious boundary issues have their past and future unravel when a dramatic admission causes everyone's secrets to spill out.Transparent featuring Gaby Hoffmann and Amy Landecker has one or more episodes streaming with subscription on Prime Video, and available for purchase on Google Play. It's a comedy and drama show with 41 episodes over 5 seasons. Transparent is no longer running and has no plans to air new episodes or seasons. It has a high IMDb audience rating of 7.8 (20,897 votes) and was very well received by critics."/>
    <s v="5Seasons"/>
    <x v="3"/>
  </r>
  <r>
    <x v="751"/>
    <x v="1"/>
    <x v="0"/>
    <n v="8"/>
    <n v="73"/>
    <x v="5"/>
    <s v="A behind-the-scenes drama and espionage thriller in Cold War-era England that centers on a journalist, a producer, and an anchorman for an investigative news programme.The Hour featuring Ben Whishaw and Romola Garai has one or more episodes streaming with subscription on Acorn TV (Via Prime Video), free on Tubi, available for purchase on iTunes, and 4 others. It's a drama and history show with 12 episodes over 2 seasons. The Hour is no longer running and has no plans to air new episodes or seasons. It has a high IMDb audience rating of 8.0 (9,288 votes) and was well received by critics."/>
    <s v="2Seasons"/>
    <x v="153"/>
  </r>
  <r>
    <x v="752"/>
    <x v="34"/>
    <x v="2"/>
    <n v="8.1999999999999993"/>
    <n v="73"/>
    <x v="22"/>
    <s v="The offbeat cast and crew of a sports news show deal with professional, personal, and ethical challenges while functioning in a pressure-cooker work environment.Sports Night featuring Joshua Malina and Robert Guillaume has one or more episodes available for purchase on iTunes, available for purchase on Google Play, available for purchase on Prime Video, and 3 others. It's a comedy and documentary show with 47 episodes over 2 seasons. Sports Night is no longer running and has no plans to air new episodes or seasons. It has a high IMDb audience rating of 8.2 (7,072 votes) and was very well received by critics."/>
    <s v="2Seasons"/>
    <x v="80"/>
  </r>
  <r>
    <x v="753"/>
    <x v="50"/>
    <x v="3"/>
    <n v="8.4"/>
    <n v="73"/>
    <x v="55"/>
    <s v="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I Love Lucy featuring Lucille Ball and Desi Arnaz has one or more episodes streaming with subscription on Hulu, streaming on CBS All Access, free on CBS, and 5 others. It's a comedy and family show with 194 episodes over 10 seasons. I Love Lucy is no longer running and has no plans to air new episodes or seasons. It has a high IMDb audience rating of 8.4 (21,640 votes)."/>
    <s v="10Seasons"/>
    <x v="68"/>
  </r>
  <r>
    <x v="754"/>
    <x v="28"/>
    <x v="3"/>
    <n v="6.7"/>
    <n v="73"/>
    <x v="22"/>
    <s v="After the death of his wife, Danny enlists his best friend and his brother-in-law to help raise his three daughters, D.J., Stephanie, and Michelle.Full House featuring John Stamos and Bob Saget has one or more episodes streaming with subscription on Hulu, streaming with subscription on fuboTV, available for purchase on iTunes, and 5 others. It's a comedy and drama show with 192 episodes over 8 seasons. Full House is no longer running and has no plans to air new episodes or seasons. It has a better than average IMDb audience rating of 6.7 (51,931 votes)."/>
    <s v="8Seasons"/>
    <x v="113"/>
  </r>
  <r>
    <x v="755"/>
    <x v="3"/>
    <x v="0"/>
    <n v="7.6"/>
    <n v="73"/>
    <x v="10"/>
    <s v="A dark comedy about four self-absorbed twenty-somethings who become entangled in an ominous mystery when a former college acquaintance suddenly disappears.Search Party featuring Alia Shawkat and John Early has one or more episodes streaming with subscription on HBO MAX, streaming with subscription on Hoopla, available for purchase on iTunes, and 4 others. It's a comedy and crime show with 30 episodes over 3 seasons. Search Party is still airing with no announced date for the next episode or season. It has a high IMDb audience rating of 7.6 (4,824 votes) and was very well received by critics."/>
    <s v="3Seasons"/>
    <x v="154"/>
  </r>
  <r>
    <x v="465"/>
    <x v="2"/>
    <x v="0"/>
    <n v="7.6"/>
    <n v="73"/>
    <x v="0"/>
    <s v="A murdered body on a bridge between El Paso and Juarez bring together El Paso detective Sonya Cross and Chihuahua State Police detective Marco Ruiz.The Bridge featuring Diane Kruger and Demián Bichir has one or more episodes available for purchase on Google Play, available for purchase on Prime Video, and available for purchase on YouTube. It's a crime and drama show with 26 episodes over 2 seasons. The Bridge is no longer running and has no plans to air new episodes or seasons. It has a high IMDb audience rating of 7.6 (17,441 votes) and was well received by critics."/>
    <s v="2 Seasons"/>
    <x v="80"/>
  </r>
  <r>
    <x v="756"/>
    <x v="4"/>
    <x v="2"/>
    <n v="7.3"/>
    <n v="73"/>
    <x v="22"/>
    <s v="A group of East High students countdown to the opening night of their school’s first-ever production of “High School Musical.” Showmances blossom; friendships are tested while new ones are made; rivalries flare and lives are changed forever as these young people discover the transformative power that only a high school drama club can provide.High School Musical: The Musical: The Series featuring Olivia Rodrigo and Kate Reinders has one or more episodes streaming with subscription on Disney+. It's a comedy and drama show with 10 episodes over 1 season. High School Musical: The Musical: The Series is still airing with no announced date for the next episode or season. It has a better than average IMDb audience rating of 7.3 (2,519 votes) and was well received by critics."/>
    <s v="1Season"/>
    <x v="14"/>
  </r>
  <r>
    <x v="757"/>
    <x v="3"/>
    <x v="2"/>
    <n v="8.1"/>
    <n v="73"/>
    <x v="74"/>
    <s v="Five unlikely teenage heroes and their flying robot lions unite to form the megapowerful Voltron and defend the universe from evil.Voltron: Legendary Defender featuring Jeremy Shada and Tyler Labine has one or more episodes streaming with subscription on Netflix, available for purchase on iTunes, available for purchase on Google Play, and 3 others. It's an action &amp; adventure and animation show with 82 episodes over 8 seasons. Voltron: Legendary Defender is no longer running and has no plans to air new episodes or seasons. It has a high IMDb audience rating of 8.1 (7,387 votes) and was very well received by critics."/>
    <s v="8Seasons"/>
    <x v="0"/>
  </r>
  <r>
    <x v="758"/>
    <x v="1"/>
    <x v="1"/>
    <n v="8.1999999999999993"/>
    <n v="73"/>
    <x v="54"/>
    <s v="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Anohana: The Flower We Saw That Day featuring Saori Hayami and Miyu Irino has one or more episodes streaming with subscription on Netflix, free on Crunchyroll, and streaming with subscription on Funimation. It's an action &amp; adventure and animation show with 11 episodes over 1 season. Anohana: The Flower We Saw That Day is no longer running and has no plans to air new episodes or seasons. It has a high IMDb audience rating of 8.2 (8,358 votes)."/>
    <s v="1Season"/>
    <x v="155"/>
  </r>
  <r>
    <x v="759"/>
    <x v="11"/>
    <x v="1"/>
    <n v="7.9"/>
    <n v="73"/>
    <x v="41"/>
    <s v="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Versailles featuring George Blagden and Stuart Bowman has one or more episodes streaming with subscription on Netflix, available for purchase on iTunes, available for purchase on Google Play, and 3 others. It's a biography and drama show with 30 episodes over 3 seasons. Versailles is no longer running and has no plans to air new episodes or seasons. It has a high IMDb audience rating of 7.9 (13,063 votes) and was well received by critics."/>
    <s v="3Seasons"/>
    <x v="0"/>
  </r>
  <r>
    <x v="760"/>
    <x v="5"/>
    <x v="1"/>
    <n v="8.1"/>
    <n v="73"/>
    <x v="11"/>
    <s v="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Black Clover featuring Gakuto Kajiwara and Nobunaga Shimazaki has one or more episodes streaming with subscription on Hulu, streaming with subscription on Crunchyroll, streaming via tv everywhere with Adult Swim (Via Cable/Satellite Provider), and 6 others. It's an action &amp; adventure and animation show with 163 episodes over 3 seasons. Black Clover has a new episode airing on September 15th, 2020 (PDT). It has a high IMDb audience rating of 8.1 (4,959 votes)."/>
    <s v="3Seasons"/>
    <x v="33"/>
  </r>
  <r>
    <x v="761"/>
    <x v="21"/>
    <x v="0"/>
    <n v="6.8"/>
    <n v="73"/>
    <x v="18"/>
    <s v="Transylvania, 1897. The blood-drinking Count Dracula is drawing his plans against Victorian London. And be warned: the dead travel fast.Dracula featuring Claes Bang and Dolly Wells has one or more episodes streaming with subscription on Netflix. It's a drama and fantasy show with 3 episodes over 1 season. Dracula is no longer running and has no plans to air new episodes or seasons. It has a better than average IMDb audience rating of 6.8 (39,321 votes) and was well received by critics."/>
    <s v="1 Season"/>
    <x v="0"/>
  </r>
  <r>
    <x v="762"/>
    <x v="14"/>
    <x v="1"/>
    <n v="7.5"/>
    <n v="73"/>
    <x v="19"/>
    <s v="It's 1996 in a town called Boring, Oregon, where high school misfits in the AV and drama clubs brave the ups and downs of teenage emotions in the VHS era.Everything Sucks! featuring Jahi Di'Allo Winston and Peyton Kennedy has one or more episodes streaming with subscription on Netflix. It's a comedy and drama show with 10 episodes over 1 season. Everything Sucks! is no longer running and has no plans to air new episodes or seasons. It has a better than average IMDb audience rating of 7.5 (14,191 votes) and was well received by critics."/>
    <s v="1Season"/>
    <x v="0"/>
  </r>
  <r>
    <x v="763"/>
    <x v="13"/>
    <x v="1"/>
    <n v="8.3000000000000007"/>
    <n v="73"/>
    <x v="22"/>
    <s v="Follow new surgical registrar Dr Caroline Todd through her first day at work and beyond, starting out as she means to go on - dishevelled and under-deodorised! Along the way she meets an assortment of bizarre and demented characters. Be prepared for one of the most surreal journeys you're ever likely to take as you dive into the anarchic world of Green Wing Hospital!Green Wing featuring Tamsin Greig and Stephen Mangan has one or more episodes free on Tubi. It's a comedy and drama show with 18 episodes over 2 seasons. Green Wing is no longer running and has no plans to air new episodes or seasons. It has a high IMDb audience rating of 8.3 (10,878 votes) and was well received by critics."/>
    <s v="2Seasons"/>
    <x v="22"/>
  </r>
  <r>
    <x v="764"/>
    <x v="11"/>
    <x v="0"/>
    <n v="7.4"/>
    <n v="73"/>
    <x v="0"/>
    <s v="Fortitude is a place like nowhere else. Although surrounded by the savage beauty of the Arctic landscape, Fortitude is one of the safest towns on earth. There has never been a violent crime here. Until now. In such a close-knit community a murder touches everyone and the unsettling, mysterious horror of this crime threatens the future of the town itself.Fortitude featuring Richard Dormer and Sienna Guillory has one or more episodes streaming with subscription on Prime Video, available for purchase on iTunes, available for purchase on Google Play, and 3 others. It's a crime and drama show with 26 episodes over 3 seasons. Fortitude is no longer running and has no plans to air new episodes or seasons. It has a better than average IMDb audience rating of 7.4 (19,213 votes) and was well received by critics."/>
    <s v="3Seasons"/>
    <x v="3"/>
  </r>
  <r>
    <x v="765"/>
    <x v="19"/>
    <x v="2"/>
    <n v="7.9"/>
    <n v="73"/>
    <x v="116"/>
    <s v="Detective Inspector Chandler investigates copycat killers in London's East End.Whitechapel featuring Rupert Penry-Jones and Steve Pemberton has one or more episodes streaming with subscription on HBO MAX, streaming with subscription on Hulu, streaming with subscription on Hoopla, and 3 others. It's a crime and drama show with 18 episodes over 4 seasons. Whitechapel is no longer running and has no plans to air new episodes or seasons. It has a high IMDb audience rating of 7.9 (10,764 votes) and was well received by critics."/>
    <s v="4Seasons"/>
    <x v="156"/>
  </r>
  <r>
    <x v="766"/>
    <x v="12"/>
    <x v="2"/>
    <n v="8.5"/>
    <n v="73"/>
    <x v="7"/>
    <s v="The long-awaited rebirth of the greatest superhero team of all time: Batman, Superman, The Flash, Wonder Woman, Hawkgirl, Green Lantern and Martian Manhunter.Justice League featuring Carl Lumbly and George Newbern has one or more episodes streaming with subscription on DC Universe, available for purchase on iTunes, available for purchase on Google Play, and 2 others. It's an action &amp; adventure and animation show with 92 episodes over 5 seasons. Justice League is no longer running and has no plans to air new episodes or seasons. It has a high IMDb audience rating of 8.5 (40,009 votes)."/>
    <s v="5Seasons"/>
    <x v="46"/>
  </r>
  <r>
    <x v="767"/>
    <x v="5"/>
    <x v="1"/>
    <n v="8.3000000000000007"/>
    <n v="73"/>
    <x v="24"/>
    <s v="The extraordinary story of how Hollywood changed World War II – and how World War II changed Hollywood, through the interwoven experiences of five legendary filmmakers who went to war to serve their country and bring the truth to the American people: John Ford, William Wyler, John Huston, Frank Capra, and George Stevens. Based on Mark Harris’ best-selling book, “Five Came Back: A Story of Hollywood and the Second World War.”Five Came Back featuring Meryl Streep and Steven Spielberg has one or more episodes streaming with subscription on Netflix. It's a biography and documentary show with 3 episodes over 1 season. Five Came Back is no longer running and has no plans to air new episodes or seasons. It has a high IMDb audience rating of 8.3 (3,643 votes) and was very well received by critics."/>
    <s v="1Season"/>
    <x v="0"/>
  </r>
  <r>
    <x v="768"/>
    <x v="23"/>
    <x v="1"/>
    <n v="7.4"/>
    <n v="73"/>
    <x v="27"/>
    <s v="When the crew of the U.S. ballistic missile submarine Colorado refuse to fire nuclear weapons at Pakistan without confirmation of the orders, they are fired upon and declared rogue enemies of their own country.Last Resort featuring Andre Braugher and Scott Speedman has one or more episodes free on Sony Crackle, free on Plex, available for purchase on iTunes, and 5 others. It's an action &amp; adventure and comedy show with 13 episodes over 1 season. Last Resort is no longer running and has no plans to air new episodes or seasons. It has a better than average IMDb audience rating of 7.4 (20,876 votes) and was well received by critics."/>
    <s v="1Season"/>
    <x v="22"/>
  </r>
  <r>
    <x v="769"/>
    <x v="38"/>
    <x v="1"/>
    <n v="8.3000000000000007"/>
    <n v="73"/>
    <x v="131"/>
    <s v="Trevor Noah and The World's Fakest News Team tackle the biggest stories in news, politics and pop culture.The Daily Show with Trevor Noah featuring Trevor Noah and Adrianne Frost has one or more episodes streaming on CBS All Access, streaming via tv everywhere with Comedy Central (Via Cable/Satellite Provider), free on Comedy Central, and 5 others. It's a comedy show with 4,216 episodes over 25 seasons. The Daily Show with Trevor Noah has a new episode airing on September 14th, 2020 (PDT). It has a high IMDb audience rating of 8.3 (44,297 votes)."/>
    <s v="25 Seasons"/>
    <x v="62"/>
  </r>
  <r>
    <x v="770"/>
    <x v="46"/>
    <x v="2"/>
    <n v="7.9"/>
    <n v="73"/>
    <x v="22"/>
    <s v="Four Southern Florida seniors share a house, their dreams, and a whole lot of cheesecake. Bright, promiscuous, clueless and hilarious, these lovely, mismatched ladies form the perfect circle of friends.The Golden Girls featuring Bea Arthur and Betty White has one or more episodes streaming with subscription on Hulu, streaming via tv everywhere with TV Land (Via Cable/Satellite Provider), available for purchase on iTunes, and 4 others. It's a comedy and drama show with 204 episodes over 8 seasons. The Golden Girls is no longer running and has no plans to air new episodes or seasons. It has a high IMDb audience rating of 7.9 (30,547 votes)."/>
    <s v="8Seasons"/>
    <x v="131"/>
  </r>
  <r>
    <x v="771"/>
    <x v="4"/>
    <x v="2"/>
    <n v="8.1999999999999993"/>
    <n v="73"/>
    <x v="54"/>
    <s v="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 to kickstart civilization with the power of science!Dr. Stone featuring Yuusuke Kobayashi and Kana Ichinose has one or more episodes free on Crunchyroll, streaming with subscription on Funimation, available for purchase on Google Play, and 2 others. It's an action &amp; adventure and animation show with 25 episodes over 2 seasons. Dr. Stone is still airing with no announced date for the next episode or season. It has a high IMDb audience rating of 8.2 (6,234 votes)."/>
    <s v="2Seasons"/>
    <x v="157"/>
  </r>
  <r>
    <x v="772"/>
    <x v="26"/>
    <x v="2"/>
    <n v="7.2"/>
    <n v="73"/>
    <x v="132"/>
    <s v="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Survivor featuring Jeff Probst has one or more episodes streaming with subscription on Prime Video, streaming with subscription on Hulu, streaming on CBS All Access, and 5 others. It's an action &amp; adventure and game show show with 610 episodes over 40 seasons. Survivor is still airing with no announced date for the next episode or season. It has a better than average IMDb audience rating of 7.2 (21,448 votes)."/>
    <s v="40 Seasons"/>
    <x v="158"/>
  </r>
  <r>
    <x v="773"/>
    <x v="26"/>
    <x v="1"/>
    <n v="7.9"/>
    <n v="73"/>
    <x v="11"/>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InuYasha featuring Ai Kobayashi and Akiko Yajima has one or more episodes streaming with subscription on Netflix, streaming with subscription on HBO MAX, streaming with subscription on Hulu, and 2 others. It's an action &amp; adventure and animation show with 368 episodes over 9 seasons. InuYasha is no longer running and has no plans to air new episodes or seasons. It has a high IMDb audience rating of 7.9 (14,101 votes)."/>
    <s v="9Seasons"/>
    <x v="29"/>
  </r>
  <r>
    <x v="774"/>
    <x v="21"/>
    <x v="2"/>
    <n v="8.3000000000000007"/>
    <n v="73"/>
    <x v="64"/>
    <s v="A sheltered girl gets a crash course in survival when a mutant attack sends her to the surface, far from the safety of her underground home.Kipo and the Age of Wonderbeasts featuring Karen Fukuhara and Sydney Mikayla has one or more episodes streaming with subscription on Netflix. It's an action &amp; adventure and animation show with 20 episodes over 2 seasons. Kipo and the Age of Wonderbeasts has a new episode airing on October 11th, 2020 (PDT). It has a high IMDb audience rating of 8.3 (2,165 votes) and was very well received by critics."/>
    <s v="2Seasons"/>
    <x v="0"/>
  </r>
  <r>
    <x v="775"/>
    <x v="3"/>
    <x v="0"/>
    <n v="8"/>
    <n v="73"/>
    <x v="22"/>
    <s v="Jump into the daily routines of a diverse group of New Yorkers and how they light things up. “The Guy” is a nameless pot deliveryman whose client base includes an eccentric group of characters with neuroses as diverse as the city.High Maintenance featuring Ben Sinclair and Juan Carlos Díaz has one or more episodes streaming with subscription on HBO MAX, streaming on HBO, available for purchase on iTunes, and 4 others. It's a comedy and drama show with 41 episodes over 4 seasons. High Maintenance is still airing with no announced date for the next episode or season. It has a high IMDb audience rating of 8.0 (6,403 votes) and was very well received by critics."/>
    <s v="4Seasons"/>
    <x v="1"/>
  </r>
  <r>
    <x v="776"/>
    <x v="19"/>
    <x v="1"/>
    <n v="7.5"/>
    <n v="73"/>
    <x v="29"/>
    <s v="Set in the world of competitive gymnastics, the series follows a group of teen Olympic hopefuls as they train for their day in the spotlight.Make It or Break It featuring Rosa Blasi and Jason Manuel Olazabal has one or more episodes streaming with subscription on Hulu, free on Freeform, streaming with subscription on fuboTV, and 2 others. It's a drama and sport show with 48 episodes over 3 seasons. Make It or Break It is no longer running and has no plans to air new episodes or seasons. It has a better than average IMDb audience rating of 7.5 (9,252 votes) and was well received by critics."/>
    <s v="3Seasons"/>
    <x v="101"/>
  </r>
  <r>
    <x v="777"/>
    <x v="11"/>
    <x v="2"/>
    <n v="7.8"/>
    <n v="73"/>
    <x v="133"/>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s true identity – or that they’re classmates!Miraculous: Tales of Ladybug &amp; Cat Noir featuring Annouck Hautbois and Benjamin Bollen has one or more episodes streaming with subscription on Netflix, available for purchase on Google Play, available for purchase on YouTube, and 1 other. It's an action &amp; adventure and animation show with 80 episodes over 3 seasons. Miraculous: Tales of Ladybug &amp; Cat Noir is still airing with no announced date for the next episode or season. It has a high IMDb audience rating of 7.8 (4,699 votes)."/>
    <s v="3Seasons"/>
    <x v="0"/>
  </r>
  <r>
    <x v="778"/>
    <x v="11"/>
    <x v="0"/>
    <n v="7.8"/>
    <n v="73"/>
    <x v="28"/>
    <s v="Set against the backdrop of a hit dating competition show, &quot;UnREAL&quot; is led by Rachel, a young staffer whose sole job is to manipulate her relationships with and among the contestants to get the vital dramatic and outrageous footage the program's dispassionate executive producer demands. What ensues is a humorous, yet vexing, look at what happens in the world of unscripted television, where being a contestant can be vicious and producing it is a whole other reality.UnREAL featuring Shiri Appleby and Constance Zimmer has one or more episodes streaming with subscription on Hulu, free on Lifetime, available for purchase on iTunes, and 4 others. It's a comedy and drama show with 38 episodes over 4 seasons. UnREAL is no longer running and has no plans to air new episodes or seasons. It has a high IMDb audience rating of 7.8 (13,112 votes) and was well received by critics."/>
    <s v="4Seasons"/>
    <x v="17"/>
  </r>
  <r>
    <x v="779"/>
    <x v="11"/>
    <x v="1"/>
    <n v="6.7"/>
    <n v="73"/>
    <x v="38"/>
    <s v="A diverse group of recruits has arrived at the FBI Quantico Base for training. They are the best, the brightest and the most vetted, so it seems impossible that one of them is suspected of masterminding the biggest attack on New York City since 9/11.Quantico featuring Priyanka Chopra and Jake McLaughlin has one or more episodes streaming with subscription on Netflix, available for purchase on iTunes, available for purchase on Google Play, and 3 others. It's a crime and drama show with 57 episodes over 3 seasons. Quantico is no longer running and has no plans to air new episodes or seasons. It has a better than average IMDb audience rating of 6.7 (56,467 votes) and was well received by critics."/>
    <s v="3Seasons"/>
    <x v="0"/>
  </r>
  <r>
    <x v="780"/>
    <x v="0"/>
    <x v="0"/>
    <n v="8.3000000000000007"/>
    <n v="73"/>
    <x v="134"/>
    <s v="Set within the highly charged confines of individual psychotherapy sessions and centering around Dr. Paul Weston, a psychotherapist who exhibits an insightful, reserved demeanor while treating his patients—but displays a crippling insecurity while counseled by his own therapist.In Treatment featuring Gabriel Byrne and Irrfan Khan has one or more episodes streaming with subscription on HBO MAX, streaming on HBO, available for purchase on iTunes, and 4 others. It's a drama show with 106 episodes over 3 seasons. In Treatment is no longer running and has no plans to air new episodes or seasons. It has a high IMDb audience rating of 8.3 (15,028 votes) and was well received by critics."/>
    <s v="3Seasons"/>
    <x v="1"/>
  </r>
  <r>
    <x v="781"/>
    <x v="23"/>
    <x v="0"/>
    <n v="7.6"/>
    <n v="73"/>
    <x v="11"/>
    <s v="The story follows Issei Hyōdō, a dim-witted, lecherous second-year high school student who is killed by a girl on his first date ever. Issei is reincarnated as a devil, and from that day forward, he serves as an underling of Riasu, a high-level devil who is also the prettiest girl on Issei's campus.High School DxD featuring Yuki Kaji and Ayana Taketatsu has one or more episodes streaming with subscription on Hulu, streaming with subscription on Funimation, available for purchase on iTunes, and 5 others. It's an action &amp; adventure and animation show with 51 episodes over 4 seasons. High School DxD is no longer running and has no plans to air new episodes or seasons. It has a high IMDb audience rating of 7.6 (6,049 votes)."/>
    <s v="4Seasons"/>
    <x v="69"/>
  </r>
  <r>
    <x v="782"/>
    <x v="24"/>
    <x v="1"/>
    <n v="8.6"/>
    <n v="73"/>
    <x v="135"/>
    <s v="Comedy quiz show full of quirky facts, in which contestants are rewarded more if their answers are 'quite interesting'.QI featuring Alan Davies and Sandi Toksvig has one or more episodes streaming on AcornTV, free on Tubi, and streaming on BritBox. It's a comedy and game show show with 290 episodes over 19 seasons. QI is still airing with no announced date for the next episode or season. It has a high IMDb audience rating of 8.6 (29,095 votes)."/>
    <s v="19 Seasons"/>
    <x v="148"/>
  </r>
  <r>
    <x v="783"/>
    <x v="51"/>
    <x v="1"/>
    <n v="8.1"/>
    <n v="73"/>
    <x v="6"/>
    <s v="Cranky but likable L.A. PI Jim Rockford pulls no punches (but takes plenty of them). An ex-con sent to the slammer for a crime he didn't commit, Rockford takes on cases others don't want, aided by his tough old man, his lawyer girlfriend and some shady associates from his past.The Rockford Files featuring James Garner and Noah Beery Jr. has one or more episodes free on IMDb TV, and free on Peacock. It's an action &amp; adventure and crime show with 133 episodes over 7 seasons. The Rockford Files is no longer running and has no plans to air new episodes or seasons. It has a high IMDb audience rating of 8.1 (6,703 votes)."/>
    <s v="7Seasons"/>
    <x v="22"/>
  </r>
  <r>
    <x v="784"/>
    <x v="21"/>
    <x v="0"/>
    <n v="8.1999999999999993"/>
    <n v="73"/>
    <x v="0"/>
    <s v="Based on the book of the same name by bestselling author Roberto Saviano, ZeroZeroZero is an unforgettable exploration of the inner workings of the global cocaine trade.ZeroZeroZero featuring Andrea Riseborough and Dane DeHaan has one or more episodes streaming with subscription on Prime Video. It's a crime and drama show with 8 episodes over 1 season. ZeroZeroZero is no longer running and has no plans to air new episodes or seasons. It has a high IMDb audience rating of 8.2 (10,086 votes) and was very well received by critics."/>
    <s v="1 Season"/>
    <x v="3"/>
  </r>
  <r>
    <x v="785"/>
    <x v="14"/>
    <x v="0"/>
    <n v="7.1"/>
    <n v="73"/>
    <x v="26"/>
    <s v="A newly minted military interrogator arrives at a covert detention center to discover that some of the terrorists held there are not of this world.GHOUL featuring Rohit Pathak and Radhika Apte has one or more episodes streaming with subscription on Netflix. It's a drama and fantasy show with 3 episodes over 1 season. GHOUL is still airing with no announced date for the next episode or season. It has a better than average IMDb audience rating of 7.1 (12,047 votes) and was well received by critics."/>
    <s v="1Season"/>
    <x v="0"/>
  </r>
  <r>
    <x v="786"/>
    <x v="7"/>
    <x v="1"/>
    <n v="8.4"/>
    <n v="73"/>
    <x v="83"/>
    <s v="The series uses “mockumentary” techniques to depict the fictional, reality television-style adventures of enthusiastic professional critic Forrest MacNeil, who hosts a TV show called &quot;Review&quot; in which he engages in any life experience his viewers ask him to, to find out if that life experience “is any good”. Afterward, Forrest formally rates each life experience in-studio, on a one-to-five-star scale. However, Forrest's compulsive curiosity and uncompromising commitment to the show unexpectedly backfire in ways that increasingly destroy his life as he is requested to review 'stealing', 'drug addiction', 'being a racist', 'getting divorced', 'getting revenge', and 'running from the law.Review featuring Jessica St. Clair and Andrew Daly has one or more episodes streaming via tv everywhere with Comedy Central (Via Cable/Satellite Provider), free on Comedy Central, streaming with subscription on Comedy Central Now (Via Prime Video), and 6 others. It's a comedy and documentary show with 30 episodes over 4 seasons. Review is no longer running and has no plans to air new episodes or seasons. It has a high IMDb audience rating of 8.4 (4,936 votes) and was very well received by critics."/>
    <s v="4Seasons"/>
    <x v="159"/>
  </r>
  <r>
    <x v="787"/>
    <x v="20"/>
    <x v="1"/>
    <n v="7.7"/>
    <n v="73"/>
    <x v="4"/>
    <s v="21 year-old slacker Sam Oliver learns that his parents sold his soul to the devil before he was born, and now Sam has to repay the debt by becoming the Devil's bounty hunter, retrieving souls that have somehow escaped from Hell.Reaper featuring Bret Harrison and Tyler Labine has one or more episodes free on ABC, available for purchase on iTunes, available for purchase on Google Play, and 3 others. It's an action &amp; adventure and comedy show with 31 episodes over 2 seasons. Reaper is no longer running and has no plans to air new episodes or seasons. It has a high IMDb audience rating of 7.7 (22,983 votes) and was well received by critics."/>
    <s v="2 Seasons"/>
    <x v="22"/>
  </r>
  <r>
    <x v="788"/>
    <x v="4"/>
    <x v="1"/>
    <n v="8.1999999999999993"/>
    <n v="73"/>
    <x v="136"/>
    <s v="Considered a genius due to having the highest grades in the country, Miyuki Shirogane leads the prestigious Shuchiin Academy's student council as its president, working alongside the beautiful and wealthy vice president Kaguya Shinomiya. The two are often regarded as the perfect couple by students despite them not being in any sort of romantic relationship. However, the truth is that after spending so much time together, the two have developed feelings for one another; unfortunately, neither is willing to confess, as doing so would be a sign of weakness. With their pride as elite students on the line, Miyuki and Kaguya embark on a quest to do whatever is necessary to get a confession out of the other. Through their daily antics, the battle of love begins!Kaguya-sama: Love is War featuring Aoi Koga and Ryota Suzuki has one or more episodes streaming with subscription on Hulu, streaming with subscription on Crunchyroll, free on Crunchyroll, and 1 other. It's an animation and anime show with 24 episodes over 2 seasons. Kaguya-sama: Love is War is no longer running and has no plans to air new episodes or seasons. It has a high IMDb audience rating of 8.2 (2,896 votes)."/>
    <s v="2Seasons"/>
    <x v="33"/>
  </r>
  <r>
    <x v="789"/>
    <x v="11"/>
    <x v="1"/>
    <n v="8.4"/>
    <n v="73"/>
    <x v="113"/>
    <s v="Hardcore survivalists are put by themselves in the Vancouver Island wilderness, without camera crews, teams, or producers – on a single mission to stay alive for as long as possible.Alone has one or more episodes streaming with subscription on Hulu, free on PlutoTV, streaming via tv everywhere with The History Channel (Via Cable/Satellite Provider), and 10 others. It's a documentary and game show show with 81 episodes over 7 seasons. Alone is still airing with no announced date for the next episode or season. It has a high IMDb audience rating of 8.4 (2,828 votes)."/>
    <s v="7 Seasons"/>
    <x v="160"/>
  </r>
  <r>
    <x v="790"/>
    <x v="11"/>
    <x v="1"/>
    <n v="8.6"/>
    <n v="73"/>
    <x v="19"/>
    <s v="TV series about a high school philosophy teacher, Merlí, who teaches in an original way, and about the students of his class, including his own son, and the relationship, friendship, love, and problems between the students of the class.Merlí featuring Francesc Orella and Carlos Cuevas has one or more episodes streaming with subscription on Netflix. It's a comedy and drama show with 40 episodes over 3 seasons. Merlí is no longer running and has no plans to air new episodes or seasons. It has a high IMDb audience rating of 8.6 (6,659 votes)."/>
    <s v="3Seasons"/>
    <x v="0"/>
  </r>
  <r>
    <x v="791"/>
    <x v="21"/>
    <x v="0"/>
    <n v="8"/>
    <n v="73"/>
    <x v="137"/>
    <s v="Ottoman Sultan Mehmed II wages an epic campaign to take the Byzantine capital of Constantinople and shapes the course of history for centuries.Rise of Empires: Ottoman featuring Tuba Büyüküstün and Cem Yiğit Üzümoğlu has one or more episodes streaming with subscription on Netflix. It's an action &amp; adventure and documentary show with 6 episodes over 1 season. Rise of Empires: Ottoman is still airing with no announced date for the next episode or season. It has a high IMDb audience rating of 8.0 (16,100 votes)."/>
    <s v="1Season"/>
    <x v="0"/>
  </r>
  <r>
    <x v="792"/>
    <x v="41"/>
    <x v="2"/>
    <n v="6.9"/>
    <n v="73"/>
    <x v="17"/>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Knight Rider featuring David Hasselhoff and Edward Mulhare has one or more episodes streaming on Starz, free on NBC, available for purchase on iTunes, and 5 others. It's an action &amp; adventure and crime show with 92 episodes over 4 seasons. Knight Rider is no longer running and has no plans to air new episodes or seasons. It has a better than average IMDb audience rating of 6.9 (29,401 votes)."/>
    <s v="4 Seasons"/>
    <x v="74"/>
  </r>
  <r>
    <x v="793"/>
    <x v="39"/>
    <x v="3"/>
    <n v="7.5"/>
    <n v="73"/>
    <x v="46"/>
    <s v="Samantha Stephens is a seemingly normal suburban housewife who also happens to be a genuine witch, with all the requisite magical powers. Her husband Darrin insists that Samantha keep her witchcraft under wraps, but situations invariably require her to indulge her powers while keeping her bothersome mother Endora at bay.Bewitched featuring Elizabeth Montgomery and Dick Sargent has one or more episodes free on Sony Crackle, free on IMDb TV, available for purchase on iTunes, and 4 others. It's a comedy and family show with 256 episodes over 8 seasons. Bewitched is no longer running and has no plans to air new episodes or seasons. It has a better than average IMDb audience rating of 7.5 (16,305 votes)."/>
    <s v="8Seasons"/>
    <x v="22"/>
  </r>
  <r>
    <x v="794"/>
    <x v="21"/>
    <x v="0"/>
    <n v="7.2"/>
    <n v="73"/>
    <x v="27"/>
    <s v="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Hunters featuring Logan Lerman and Al Pacino has one or more episodes streaming with subscription on Prime Video. It's an action &amp; adventure and crime show with 10 episodes over 1 season. Hunters is still airing with no announced date for the next episode or season. It has a better than average IMDb audience rating of 7.2 (26,973 votes) and was met with mixed reviews by critics."/>
    <s v="1Season"/>
    <x v="3"/>
  </r>
  <r>
    <x v="795"/>
    <x v="1"/>
    <x v="2"/>
    <n v="7.6"/>
    <n v="73"/>
    <x v="52"/>
    <s v="A married father of three tries to maintain his manliness in a world increasingly dominated by women.Last Man Standing featuring Tim Allen and Nancy Travis has one or more episodes streaming with subscription on Hulu, streaming via tv everywhere with FOX (Via Cable/Satellite Provider), free on FOX, and 6 others. It's a comedy show with 175 episodes over 8 seasons. Last Man Standing is still airing with no announced date for the next episode or season. It has a high IMDb audience rating of 7.6 (28,479 votes)."/>
    <s v="8Seasons"/>
    <x v="92"/>
  </r>
  <r>
    <x v="796"/>
    <x v="2"/>
    <x v="1"/>
    <n v="6.6"/>
    <n v="73"/>
    <x v="18"/>
    <s v="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Under the Dome featuring Mike Vogel and Rachelle Lefevre has one or more episodes streaming on CBS All Access, and available for purchase on Prime Video. It's a drama and fantasy show with 40 episodes over 3 seasons. Under the Dome is no longer running and has no plans to air new episodes or seasons. It has an average IMDb audience rating of 6.6 (100,061 votes) and was well received by critics."/>
    <s v="3Seasons"/>
    <x v="97"/>
  </r>
  <r>
    <x v="797"/>
    <x v="52"/>
    <x v="2"/>
    <n v="8.1"/>
    <n v="73"/>
    <x v="138"/>
    <s v="Through four series and a few specials, Edmund Blackadder and his greasy sidekick Baldrick conjure up cunning plans as Edmund tries to take advantage of desperate times. These situation tragedies had obvious parallels from the Dark Ages to Elizabethan times, the rule of mad George III, and The Great War.Blackadder featuring Rowan Atkinson and Hugh Laurie has one or more episodes streaming with subscription on Prime Video, streaming with subscription on Hulu, streaming on BritBox, and 4 others. It's a comedy show with 24 episodes over 4 seasons. Blackadder is no longer running and has no plans to air new episodes or seasons. It has a high IMDb audience rating of 8.1 (34,966 votes)."/>
    <s v="4Seasons"/>
    <x v="161"/>
  </r>
  <r>
    <x v="798"/>
    <x v="3"/>
    <x v="2"/>
    <n v="8.4"/>
    <n v="73"/>
    <x v="47"/>
    <s v="Lenny Belardo, the youngest and first American Pope in the history of the Church, must establish his new papacy and navigate the power struggles of the closed, secretive Vatican.The Young Pope featuring Jude Law and Diane Keaton has one or more episodes streaming with subscription on HBO MAX, streaming on HBO, available for purchase on iTunes, and 4 others. It's a drama show with 10 episodes over 1 season. The Young Pope is no longer running and has no plans to air new episodes or seasons. It has a high IMDb audience rating of 8.4 (36,300 votes)."/>
    <s v="1Season"/>
    <x v="1"/>
  </r>
  <r>
    <x v="799"/>
    <x v="11"/>
    <x v="1"/>
    <n v="8.6999999999999993"/>
    <n v="73"/>
    <x v="122"/>
    <s v="Within the DGSE (General Directorate for External Security), a department called the Office Of Legends (BDL) forms and remote pilot the most important agents of the French intelligence services: Clandestine. Immersion in hostile country, their mission is to identify individuals who may be recruited as sources of information. Operating &quot;under caption&quot;, that is to say in a fabricated identity from scratch, they live for many years in a permanent duplicity. Our hero just returned from a clandestine mission six years in Damascus. But contrary to what is required by safety rules, he does not abandon his legend and the identity under which he lived in Syria, thus putting in danger the whole system.The Bureau featuring Mathieu Kassovitz and Sara Giraudeau has one or more episodes streaming with subscription on Prime Video, streaming on Sundance Now, available for purchase on iTunes, and 3 others. It's a drama show with 51 episodes over 5 seasons. The Bureau is still airing with no announced date for the next episode or season. It has a high IMDb audience rating of 8.7 (6,683 votes)."/>
    <s v="5Seasons"/>
    <x v="3"/>
  </r>
  <r>
    <x v="800"/>
    <x v="11"/>
    <x v="1"/>
    <n v="7.4"/>
    <n v="73"/>
    <x v="76"/>
    <s v="A powerful family drama about the head of a music empire whose three sons and ex-wife all battle for his throne.Empire featuring Terrence Howard and Taraji P. Henson has one or more episodes streaming with subscription on Hulu, streaming via tv everywhere with FOX (Via Cable/Satellite Provider), streaming with subscription on Hoopla, and 5 others. It's a drama and family show with 103 episodes over 6 seasons. Empire is no longer running and has no plans to air new episodes or seasons. It has a better than average IMDb audience rating of 7.4 (37,167 votes) and was well received by critics."/>
    <s v="6Seasons"/>
    <x v="162"/>
  </r>
  <r>
    <x v="801"/>
    <x v="5"/>
    <x v="1"/>
    <n v="8.4"/>
    <n v="73"/>
    <x v="98"/>
    <s v="Step inside the minds of the most innovative designers in a variety of disciplines and learn how design impacts every aspect of life.Abstract: The Art of Design featuring Christoph Niemann and Es Devlin has one or more episodes streaming with subscription on Netflix. It's a documentary show with 14 episodes over 2 seasons. Abstract: The Art of Design is still airing with no announced date for the next episode or season. It has a high IMDb audience rating of 8.4 (4,517 votes) and was very well received by critics."/>
    <s v="2Seasons"/>
    <x v="0"/>
  </r>
  <r>
    <x v="802"/>
    <x v="3"/>
    <x v="1"/>
    <n v="8.1999999999999993"/>
    <n v="73"/>
    <x v="101"/>
    <s v="The story of Queen Victoria, who came to the throne at a time of great economic turbulence and resurgent republicanism – and died 64 years later the head of the largest empire the world had ever seen, having revitalised the throne’s public image and become “grandmother of Europe”.Victoria featuring Jenna Coleman and Tom Hughes has one or more episodes streaming with subscription on Prime Video, available for purchase on iTunes, available for purchase on Google Play, and 3 others. It's a biography and drama show with 25 episodes over 3 seasons. Victoria is still airing with no announced date for the next episode or season. It has a high IMDb audience rating of 8.2 (21,354 votes) and was well received by critics."/>
    <s v="3 Seasons"/>
    <x v="3"/>
  </r>
  <r>
    <x v="803"/>
    <x v="1"/>
    <x v="1"/>
    <n v="7.3"/>
    <n v="73"/>
    <x v="13"/>
    <s v="Emma, a kind-hearted foster kid who can't catch a break, finds out she has an identical twin sister, Sutton, who - unlike Emma - was adopted by wealthy parents and is seemingly living an ideal life. After their initial meeting, Sutton talks Emma into stepping into her life for a few days while she pursues a lead on their birth mother. Initially excited to do this favor for her sister, Emma soon learns that Sutton has gone missing and could be in trouble. Now, Emma must decide whether to come clean to Sutton's family and risk her own safety in the hope of uncovering her twin sister's true whereabouts, along with the truth about why they were separated in the first place.The Lying Game featuring Alexandra Chando and Alice Greczyn has one or more episodes free on CW Seed, available for purchase on iTunes, available for purchase on Google Play, and 3 others. It's a drama and mystery show with 30 episodes over 2 seasons. The Lying Game is no longer running and has no plans to air new episodes or seasons. It has a better than average IMDb audience rating of 7.3 (17,877 votes) and was well received by critics."/>
    <s v="2Seasons"/>
    <x v="22"/>
  </r>
  <r>
    <x v="804"/>
    <x v="21"/>
    <x v="0"/>
    <n v="7.1"/>
    <n v="73"/>
    <x v="60"/>
    <s v="New York City in the 1970s was ruled with a bloody fist by five mafia families, until a group of federal agents tried the unthinkable: taking them down.Fear City: New York vs The Mafia has one or more episodes streaming with subscription on Netflix. It's a crime and documentary show with 3 episodes over 1 season. Fear City: New York vs The Mafia is no longer running and has no plans to air new episodes or seasons. It has a better than average IMDb audience rating of 7.1 (4,198 votes) and was well received by critics."/>
    <s v="1Season"/>
    <x v="0"/>
  </r>
  <r>
    <x v="805"/>
    <x v="10"/>
    <x v="0"/>
    <n v="8.5"/>
    <n v="73"/>
    <x v="11"/>
    <s v="In the future when technological enhancements and robotics are a way of life, Major Motoko Kusanagi and Section 9 take care of the jobs that are too difficult for the police. Section 9 employs hackers, sharpshooters, detectives and cyborgs all in an effort to thwart cyber criminals and their plans to attack the innocent.Ghost in the Shell: Stand Alone Complex featuring Atsuko Tanaka and Akio Otsuka has one or more episodes streaming on Starz, free on Adult Swim, streaming with subscription on Hoopla, and 6 others. It's an action &amp; adventure and animation show with 74 episodes over 3 seasons. Ghost in the Shell: Stand Alone Complex is no longer running and has no plans to air new episodes or seasons. It has a high IMDb audience rating of 8.5 (17,648 votes)."/>
    <s v="3Seasons"/>
    <x v="163"/>
  </r>
  <r>
    <x v="806"/>
    <x v="21"/>
    <x v="0"/>
    <n v="6.3"/>
    <n v="73"/>
    <x v="13"/>
    <s v="Married Alma spends a fateful weekend away from home that ignites passion, ends in tragedy and leads her to question the truth about those close to her.Dark Desire featuring Maite Perroni and Alejandro Speitzer has one or more episodes streaming with subscription on Netflix. It's a crime and drama show with 18 episodes over 1 season. Dark Desire is still airing with no announced date for the next episode or season. It has an average IMDb audience rating of 6.3 (2,192 votes)."/>
    <s v="1Season"/>
    <x v="0"/>
  </r>
  <r>
    <x v="807"/>
    <x v="2"/>
    <x v="0"/>
    <n v="7.9"/>
    <n v="73"/>
    <x v="0"/>
    <s v="The plot follows detectives Karl Roebuck and Elise Wasserman working together to find a serial killer who left the upper-half body of a French politician and the lower-half of a British prostitute in the Channel Tunnel, at the midpoint between France and the UK. They later learn that the killer—who comes to be nicknamed the &quot;Truth Terrorist&quot;—is on a moral crusade to highlight many social problems, terrorising both countries in the processThe Tunnel featuring Stephen Dillane and Clémence Poésy has one or more episodes streaming with subscription on Prime Video, available for purchase on iTunes, available for purchase on Google Play, and 4 others. It's an action &amp; adventure and crime show with 24 episodes over 3 seasons. The Tunnel is no longer running and has no plans to air new episodes or seasons. It has a high IMDb audience rating of 7.9 (7,248 votes) and was very well received by critics."/>
    <s v="3Seasons"/>
    <x v="3"/>
  </r>
  <r>
    <x v="808"/>
    <x v="19"/>
    <x v="1"/>
    <n v="7.5"/>
    <n v="72"/>
    <x v="18"/>
    <s v="A group of family and friends travels to a secluded island for a destination wedding. They've come to laugh... to love... and, though they don't know it... to die. As the wedding festivities begin, friendships are tested and secrets exposed as a murderer claims victims, one by one, transforming the wedding week of fun and celebration into a terrifying struggle for survival.Harper's Island featuring Elaine Cassidy and Christopher Gorham has one or more episodes streaming with subscription on Prime Video, available for purchase on iTunes, available for purchase on Prime Video, and 1 other. It's a drama and horror show with 13 episodes over 1 season. Harper's Island is no longer running and has no plans to air new episodes or seasons. It has a better than average IMDb audience rating of 7.5 (25,022 votes) and was met with mixed reviews by critics."/>
    <s v="1 Season"/>
    <x v="3"/>
  </r>
  <r>
    <x v="809"/>
    <x v="5"/>
    <x v="1"/>
    <n v="8.5"/>
    <n v="72"/>
    <x v="139"/>
    <s v="The lives of cousins Kerry and Kurtan in the rural village of Cotswolds.This Country featuring Daisy May Cooper and Charlie Cooper has one or more episodes streaming with subscription on Hulu. It's a comedy show with 18 episodes over 3 seasons. This Country is still airing with no announced date for the next episode or season. It has a high IMDb audience rating of 8.5 (3,543 votes) and was very well received by critics."/>
    <s v="3Seasons"/>
    <x v="4"/>
  </r>
  <r>
    <x v="810"/>
    <x v="14"/>
    <x v="1"/>
    <n v="8.1"/>
    <n v="72"/>
    <x v="140"/>
    <s v="Diana Bishop, historian and witch, accesses Ashmole 782 and knows she must solve its mysteries. She is offered help by the enigmatic Matthew Clairmont, but he's a vampire and witches should never trust vampires.A Discovery of Witches featuring Teresa Palmer and Matthew Goode has one or more episodes streaming with subscription on Shudder, streaming on Sundance Now, streaming with subscription on AMC Premiere, and 3 others. It's a drama and fantasy show with 11 episodes over 4 seasons. A Discovery of Witches has a new episode airing on October 5th, 2020 (PDT). It has a high IMDb audience rating of 8.1 (23,866 votes)."/>
    <s v="4Seasons"/>
    <x v="164"/>
  </r>
  <r>
    <x v="811"/>
    <x v="36"/>
    <x v="2"/>
    <n v="8.4"/>
    <n v="72"/>
    <x v="84"/>
    <s v="The adventures of the last human alive and his friends, stranded three million years into deep space on the mining ship Red Dwarf.Red Dwarf featuring Danny John-Jules and Craig Charles has one or more episodes streaming on BritBox, available for purchase on iTunes, available for purchase on Google Play, and 4 others. It's an action &amp; adventure and comedy show with 75 episodes over 13 seasons. Red Dwarf is still airing with no announced date for the next episode or season. It has a high IMDb audience rating of 8.4 (32,202 votes)."/>
    <s v="13Seasons"/>
    <x v="77"/>
  </r>
  <r>
    <x v="812"/>
    <x v="20"/>
    <x v="1"/>
    <n v="8.3000000000000007"/>
    <n v="72"/>
    <x v="38"/>
    <s v="Complex, offbeat Detective Charlie Crews returns to the force after serving time in prison for a crime he didn’t commit. Crews’ new lease on life has provided him with a Zen-like outlook, peace of mind and no need for vengeance, an attitude which can be challenging to maintain when someone he cares about is threatened — or when he is investigating the mystery surrounding the murder he was falsely accused of.Life featuring Damian Lewis and Sarah Shahi has one or more episodes free on NBC, available for purchase on iTunes, available for purchase on Google Play, and 4 others. It's a crime and drama show with 32 episodes over 2 seasons. Life is no longer running and has no plans to air new episodes or seasons. It has a high IMDb audience rating of 8.3 (32,245 votes) and was well received by critics."/>
    <s v="2Seasons"/>
    <x v="22"/>
  </r>
  <r>
    <x v="813"/>
    <x v="23"/>
    <x v="1"/>
    <n v="7.7"/>
    <n v="72"/>
    <x v="126"/>
    <s v="Smash is an American musical drama television series created by playwright Theresa Rebeck and developed by Robert Greenblatt for NBC. Steven Spielberg served as one of the executive producers. The series was broadcast in the US by NBC and produced by DreamWorks Television and Universal Television. The series revolves around a fictional New York theater community and specifically the creation of a new Broadway musical. It features a large ensemble cast, led by Debra Messing, Jack Davenport, Katharine McPhee, Christian Borle, Megan Hilty, Jeremy Jordan, and Anjelica Huston. The show debuted on February 6, 2012, and its first season ended on May 14, 2012. Its second and final season premiered on February 5, 2013 and ended on May 26, 2013. NBC announced a change in their lineup in March 2013 and moved the show to Saturdays starting April 6, 2013. The series was officially cancelled on May 10, 2013. Second and final season executive producer/show runner Josh Safran said the final episode of season two would work as a series finale, should the series not be renewed.The series, particularly the pilot episode, enjoyed some critical success. The first season received the Primetime Emmy Award for Outstanding Choreography amongst 4 nominations. The series was also nominated for a Golden Globe Award for Best Television Series – Musical or Comedy and a Grammy Award for Best Song Written for Visual Media.Smash featuring Debra Messing and Jack Davenport has one or more episodes free on NBC, free on IMDb TV, available for purchase on iTunes, and 4 others. It's a drama and musical show with 32 episodes over 2 seasons. Smash is no longer running and has no plans to air new episodes or seasons. It has a high IMDb audience rating of 7.7 (16,110 votes) and was well received by critics."/>
    <s v="2 Seasons"/>
    <x v="22"/>
  </r>
  <r>
    <x v="814"/>
    <x v="11"/>
    <x v="0"/>
    <n v="8.1"/>
    <n v="72"/>
    <x v="83"/>
    <s v="Loving parodies of some of the world's best-known documentaries. Each episode is shot in a different style of documentary filmmaking, and honors some of the most important stories that didn't actually happen.Documentary Now! featuring Bill Hader and Fred Armisen has one or more episodes streaming with subscription on Netflix, streaming via tv everywhere with IFC, streaming with subscription on fuboTV, and 4 others. It's a comedy and documentary show with 21 episodes over 3 seasons. Documentary Now! is still airing with no announced date for the next episode or season. It has a high IMDb audience rating of 8.1 (5,135 votes) and was very well received by critics."/>
    <s v="3Seasons"/>
    <x v="135"/>
  </r>
  <r>
    <x v="815"/>
    <x v="24"/>
    <x v="0"/>
    <n v="8.4"/>
    <n v="72"/>
    <x v="3"/>
    <s v="Carnivàle is an American television series set in the United States during the Great Depression and Dust Bowl. In tracing the lives of two disparate groups of people, its overarching story depicts the battle between good and evil and the struggle between free will and destiny; the storyline mixes Christian theology with gnosticism and Masonic lore, particularly that of the Knights Templar.Carnivàle featuring Michael J. Anderson and Adrienne Barbeau has one or more episodes streaming with subscription on HBO MAX, streaming on HBO, available for purchase on iTunes, and 4 others. It's a drama and fantasy show with 24 episodes over 2 seasons. Carnivàle is no longer running and has no plans to air new episodes or seasons. It has a high IMDb audience rating of 8.4 (41,909 votes)."/>
    <s v="2Seasons"/>
    <x v="1"/>
  </r>
  <r>
    <x v="816"/>
    <x v="12"/>
    <x v="0"/>
    <n v="8.4"/>
    <n v="72"/>
    <x v="10"/>
    <s v="Follow the booze-fueled misadventures of three longtime pals and petty serial criminals who run scams from their Nova Scotia trailer park.Trailer Park Boys featuring Robb Wells and John Paul Tremblay has one or more episodes streaming with subscription on Netflix, available for purchase on iTunes, available for purchase on Google Play, and 3 others. It's a comedy and crime show with 105 episodes over 12 seasons. Trailer Park Boys is no longer running and has no plans to air new episodes or seasons. It has a high IMDb audience rating of 8.4 (36,301 votes)."/>
    <s v="12Seasons"/>
    <x v="0"/>
  </r>
  <r>
    <x v="817"/>
    <x v="23"/>
    <x v="1"/>
    <n v="8.5"/>
    <n v="72"/>
    <x v="80"/>
    <s v="The most celebrated competitors from RuPaul's Drag Race vie for a second chance to enter Drag Race herstory. This drag queen showdown is filled with plenty of heated competition, lip-syncing for the legacy, and, of course, the All-Stars Snatch Game.RuPaul's Drag Race All Stars featuring RuPaul and Michelle Visage has one or more episodes streaming with subscription on Hulu, streaming on CBS All Access, streaming via tv everywhere with VH1, and 6 others. It's a game show and LGBTQ show with 50 episodes over 5 seasons. RuPaul's Drag Race All Stars is still airing with no announced date for the next episode or season. It has a high IMDb audience rating of 8.5 (5,418 votes) and was well received by critics."/>
    <s v="5Seasons"/>
    <x v="165"/>
  </r>
  <r>
    <x v="818"/>
    <x v="23"/>
    <x v="1"/>
    <n v="6.7"/>
    <n v="72"/>
    <x v="1"/>
    <s v="Revolution focuses on the struggle to survive 15 years after a global blackout.Revolution featuring Billy Burke and Tracy Spiridakos has one or more episodes available for purchase on iTunes, available for purchase on Google Play, available for purchase on Prime Video, and 3 others. It's an action &amp; adventure and drama show with 42 episodes over 2 seasons. Revolution is no longer running and has no plans to air new episodes or seasons. It has a better than average IMDb audience rating of 6.7 (80,272 votes) and was well received by critics."/>
    <s v="2 Seasons"/>
    <x v="80"/>
  </r>
  <r>
    <x v="819"/>
    <x v="14"/>
    <x v="0"/>
    <n v="7.6"/>
    <n v="72"/>
    <x v="22"/>
    <s v="A dark, edgy look at life as a Junior-Executive-in-Training at your average, soulless multinational corporation. Matt and Jake are at the mercy of a tyrannical CEO and his top lieutenants while navigating an ever-revolving series of disasters. Their only ally is Human Resources rep Grace.Corporate featuring Matt Ingebretson and Jake Weisman has one or more episodes streaming via tv everywhere with Comedy Central (Via Cable/Satellite Provider), free on Comedy Central, streaming with subscription on Comedy Central Now (Via Prime Video), and 7 others. It's a comedy and drama show with 28 episodes over 3 seasons. Corporate is still airing with no announced date for the next episode or season. It has a high IMDb audience rating of 7.6 (2,441 votes) and was very well received by critics."/>
    <s v="3 Seasons"/>
    <x v="166"/>
  </r>
  <r>
    <x v="820"/>
    <x v="22"/>
    <x v="1"/>
    <n v="7.7"/>
    <n v="72"/>
    <x v="38"/>
    <s v="Follows a crime (usually a murder), usually adapted from current headlines, from two separate vantage points, the police investigation and the prosecution in court.Law &amp; Order featuring Jeremy Sisto and Linus Roache has one or more episodes streaming via tv everywhere with Sundance, streaming via tv everywhere with TNT, streaming with subscription on fuboTV, and 6 others. It's a crime and drama show with 456 episodes over 20 seasons. Law &amp; Order is no longer running and has no plans to air new episodes or seasons. It has a high IMDb audience rating of 7.7 (31,002 votes)."/>
    <s v="20Seasons"/>
    <x v="167"/>
  </r>
  <r>
    <x v="821"/>
    <x v="7"/>
    <x v="0"/>
    <n v="8.3000000000000007"/>
    <n v="72"/>
    <x v="11"/>
    <s v="Shinichi Izumi is a normal high school boy whose right hand has become infected with an alien parasite that names itself &quot;Migi&quot; (&quot;right&quot;). Migi is the first parasite to develop a symbiotic relationship with its host, as he and Shinichi slowly develop a grudging friendship. Migi isn't the only Parasite on earth, however, and as cases of Parasites killing humans begin to emerge, humans seek to kill off Parasites. Shinichi and Migi find themselves caught in between these two sides of the struggle over planet earth.Parasyte -the maxim- featuring Nobunaga Shimazaki and Aya Hirano has one or more episodes streaming with subscription on Netflix, streaming with subscription on Hulu, free on Crunchyroll, and 3 others. It's an action &amp; adventure and animation show with 28 episodes over 1 season. Parasyte -the maxim- is no longer running and has no plans to air new episodes or seasons. It has a high IMDb audience rating of 8.3 (22,730 votes)."/>
    <s v="1Season"/>
    <x v="9"/>
  </r>
  <r>
    <x v="822"/>
    <x v="3"/>
    <x v="2"/>
    <n v="7.5"/>
    <n v="72"/>
    <x v="13"/>
    <s v="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Frequency featuring Peyton List and Riley Smith has one or more episodes streaming with subscription on Netflix, available for purchase on iTunes, available for purchase on Google Play, and 2 others. It's a crime and drama show with 35 episodes over 3 seasons. Frequency is no longer running and has no plans to air new episodes or seasons. It has a better than average IMDb audience rating of 7.5 (12,499 votes) and was well received by critics."/>
    <s v="3Seasons"/>
    <x v="0"/>
  </r>
  <r>
    <x v="823"/>
    <x v="9"/>
    <x v="1"/>
    <n v="7.7"/>
    <n v="72"/>
    <x v="28"/>
    <s v="Explores the inner workings of an urban teaching hospital and the critical issues faced by the dedicated physicians and staff of its overburdened emergency room.ER featuring Parminder Nagra and Linda Cardellini has one or more episodes streaming with subscription on Hulu, available for purchase on Google Play, available for purchase on Prime Video, and 2 others. It's a drama and romance show with 333 episodes over 15 seasons. ER is no longer running and has no plans to air new episodes or seasons. It has a high IMDb audience rating of 7.7 (48,975 votes)."/>
    <s v="15 Seasons"/>
    <x v="4"/>
  </r>
  <r>
    <x v="824"/>
    <x v="3"/>
    <x v="2"/>
    <n v="7.9"/>
    <n v="72"/>
    <x v="141"/>
    <s v="The story of the Medici family of Florence, their ascent from simple merchants to power brokers sparking an economic and cultural revolution. Along the way, they also accrue a long list of powerful enemies.Medici: Masters of Florence featuring Richard Madden and Dustin Hoffman has one or more episodes streaming with subscription on Netflix. It's a biography and drama show with 24 episodes over 3 seasons. Medici: Masters of Florence is no longer running and has no plans to air new episodes or seasons. It has a high IMDb audience rating of 7.9 (14,622 votes)."/>
    <s v="3Seasons"/>
    <x v="0"/>
  </r>
  <r>
    <x v="825"/>
    <x v="5"/>
    <x v="0"/>
    <n v="7.3"/>
    <n v="72"/>
    <x v="0"/>
    <s v="A missing FBI agent reappears six years after being declared dead.Absentia featuring Stana Katic and Patrick Heusinger has one or more episodes streaming with subscription on Prime Video, available for purchase on iTunes, available for purchase on Google Play, and 2 others. It's a crime and drama show with 30 episodes over 3 seasons. Absentia is still airing with no announced date for the next episode or season. It has a better than average IMDb audience rating of 7.3 (11,325 votes)."/>
    <s v="3Seasons"/>
    <x v="3"/>
  </r>
  <r>
    <x v="826"/>
    <x v="8"/>
    <x v="0"/>
    <n v="7.7"/>
    <n v="72"/>
    <x v="82"/>
    <s v="A series of pop-culture parodies using stop-motion animation of toys, action figures and dolls. The title character was an ordinary chicken until he was run down by a car and subsequently brought back to life in cyborg form by mad scientist Fritz Huhnmorder, who tortures Robot Chicken by forcing him to watch a random selection of TV shows, the sketches that make up the body of each episode.Robot Chicken featuring Seth Green and Matthew Senreich has one or more episodes streaming with subscription on HBO MAX, streaming with subscription on Hulu, streaming via tv everywhere with Adult Swim (Via Cable/Satellite Provider), and 7 others. It's an animation and comedy show with 199 episodes over 11 seasons. Robot Chicken is still airing with no announced date for the next episode or season. It has a high IMDb audience rating of 7.7 (39,004 votes)."/>
    <s v="11 Seasons"/>
    <x v="2"/>
  </r>
  <r>
    <x v="827"/>
    <x v="4"/>
    <x v="1"/>
    <n v="6.7"/>
    <n v="72"/>
    <x v="26"/>
    <s v="A young Victoria &quot;Vic&quot; McQueen discovers she has the power to unlock portals that help her find lost objects. As she delves further into this hidden universe, she encounters many other &quot;inscape travelers&quot; - some benevolent, and some who have been corrupted by their power. When Vic encounters Charlie Manx, an immortal who stays that way by feeding off of the souls of children, she makes a sworn enemy of Manx.NOS4A2 featuring Ashleigh Cummings and Zachary Quinto has one or more episodes streaming with subscription on Hulu, streaming via tv everywhere with BBC America (Via Cable/Satellite Provider), streaming via tv everywhere with AMC, and 7 others. It's a drama and fantasy show with 21 episodes over 2 seasons. NOS4A2 is no longer running and has no plans to air new episodes or seasons. It has a better than average IMDb audience rating of 6.7 (6,815 votes) and was well received by critics."/>
    <s v="2Seasons"/>
    <x v="168"/>
  </r>
  <r>
    <x v="828"/>
    <x v="14"/>
    <x v="1"/>
    <n v="8.4"/>
    <n v="72"/>
    <x v="0"/>
    <s v="A scandal erupts in Brazil during an investigation of alleged government corruption via oil and construction companies. Loosely inspired by true events.The Mechanism featuring Alessandra Colasanti and Anna Cotrim has one or more episodes streaming with subscription on Netflix. It's a crime and drama show with 16 episodes over 2 seasons. The Mechanism is still airing with no announced date for the next episode or season. It has a high IMDb audience rating of 8.4 (35,189 votes) and was well received by critics."/>
    <s v="2Seasons"/>
    <x v="0"/>
  </r>
  <r>
    <x v="829"/>
    <x v="6"/>
    <x v="0"/>
    <n v="8.4"/>
    <n v="72"/>
    <x v="23"/>
    <s v="Ex-cop and recovering alcoholic Hank Dolworth partners with his best friend, former criminal Britt Pollack, in an unlicensed private investigation business. The series is set in Ocean Beach, San Diego, California, although it is portrayed as a distinct town, with Dolworth having once been a member of the fictional Ocean Beach Police Department.Terriers featuring Donal Logue and Michael Raymond-James has one or more episodes streaming with subscription on Hulu, available for purchase on iTunes, and available for purchase on Prime Video. It's a comedy and crime show with 13 episodes over 1 season. Terriers is no longer running and has no plans to air new episodes or seasons. It has a high IMDb audience rating of 8.4 (10,084 votes) and was very well received by critics."/>
    <s v="1Season"/>
    <x v="4"/>
  </r>
  <r>
    <x v="830"/>
    <x v="14"/>
    <x v="4"/>
    <n v="7.9"/>
    <n v="72"/>
    <x v="11"/>
    <s v="Nature made Ash Lynx beautiful; nurture made him a cold ruthless killer. A runaway brought up as the adopted heir and sex toy of &quot;Papa&quot; Dino Golzine, Ash, now at the rebellious age of seventeen, forsakes the kingdom held out by the devil who raised him. But the hideous secret that drove Ash's older brother mad in Vietnam has suddenly fallen into Papa's insatiably ambitious hands—and it's exactly the wrong time for Eiji Okamura, a pure-hearted young photographer from Japan, to make Ash Lynx's acquaintance...(Source: Viz)Banana Fish featuring Yuuma Uchida and Kenji Nojima has one or more episodes streaming with subscription on Prime Video. It's an action &amp; adventure and animation show with 24 episodes over 1 season. Banana Fish is still airing with no announced date for the next episode or season. It has a high IMDb audience rating of 7.9 (1,302 votes)."/>
    <s v="1Season"/>
    <x v="3"/>
  </r>
  <r>
    <x v="831"/>
    <x v="3"/>
    <x v="1"/>
    <n v="8.1"/>
    <n v="72"/>
    <x v="16"/>
    <s v="Letty Dobesh is a thief and con artist fresh out of prison whose life is always one wrong turn and bad decision from implosions — just how she likes it. But when she overhears a hitman being hired to kill a man’s wife, she sets out to derail the job, launching her on a collision course with the killer, entangling them in a dangerous and seductive relationship.Good Behavior featuring Michelle Dockery and Juan Diego Botto has one or more episodes streaming with subscription on Hulu, streaming via tv everywhere with TNT, streaming with subscription on Hoopla, and 5 others. It's an action &amp; adventure and crime show with 20 episodes over 2 seasons. Good Behavior is no longer running and has no plans to air new episodes or seasons. It has a high IMDb audience rating of 8.1 (9,428 votes) and was well received by critics."/>
    <s v="2Seasons"/>
    <x v="100"/>
  </r>
  <r>
    <x v="832"/>
    <x v="11"/>
    <x v="1"/>
    <n v="7.4"/>
    <n v="72"/>
    <x v="18"/>
    <s v="A police officer and a doctor face an emotionally charged mystery when seven local residents inexplicably return from the dead in peak physical form.Glitch featuring Patrick Brammall and Emma Booth has one or more episodes streaming with subscription on Netflix, available for purchase on iTunes, available for purchase on Google Play, and 2 others. It's a comedy and drama show with 20 episodes over 3 seasons. Glitch is no longer running and has no plans to air new episodes or seasons. It has a better than average IMDb audience rating of 7.4 (13,931 votes) and was well received by critics."/>
    <s v="3Seasons"/>
    <x v="0"/>
  </r>
  <r>
    <x v="833"/>
    <x v="11"/>
    <x v="0"/>
    <n v="7.7"/>
    <n v="72"/>
    <x v="46"/>
    <s v="Josh Greenberg is a naive romantic on a desperate quest for love. When his longtime girlfriend dumps him, Josh enters the dating scene, a nightmarish hellscape of untold horror. Despite the agony, Josh continues his search in the hopes of finding someone who will make all the misery worth it.Man Seeking Woman featuring Jay Baruchel and Eric André has one or more episodes streaming with subscription on Hulu, available for purchase on iTunes, available for purchase on Google Play, and 3 others. It's a comedy and fantasy show with 30 episodes over 3 seasons. Man Seeking Woman is no longer running and has no plans to air new episodes or seasons. It has a high IMDb audience rating of 7.7 (9,306 votes) and was very well received by critics."/>
    <s v="3 Seasons"/>
    <x v="4"/>
  </r>
  <r>
    <x v="834"/>
    <x v="21"/>
    <x v="1"/>
    <n v="7.1"/>
    <n v="72"/>
    <x v="3"/>
    <s v="Set in an alternate America where witches ended their persecution over 300 years ago by cutting a deal with the government to fight for their country, the series follows three young women from basic training in combat magic into early deployment.Motherland: Fort Salem featuring Taylor Hickson and Amalia Holm Bjelke has one or more episodes streaming with subscription on Hulu, streaming via tv everywhere with Freeform, free on Freeform, and 1 other. It's an action &amp; adventure and drama show with 10 episodes over 1 season. Motherland: Fort Salem is still airing with no announced date for the next episode or season. It has a better than average IMDb audience rating of 7.1 (5,381 votes) and was well received by critics."/>
    <s v="1Season"/>
    <x v="101"/>
  </r>
  <r>
    <x v="835"/>
    <x v="3"/>
    <x v="1"/>
    <n v="7.4"/>
    <n v="72"/>
    <x v="142"/>
    <s v="Beneath the placid facade of Canberra, amidst rising tension between China and America, senior political journalist Harriet Dunkley uncovers a secret city of interlocked conspiracies, putting innocent lives in danger including her own.Secret City featuring Alan Dale and Alex Dimitriades has one or more episodes streaming with subscription on Netflix. It's a crime and drama show with 12 episodes over 2 seasons. Secret City is still airing with no announced date for the next episode or season. It has a better than average IMDb audience rating of 7.4 (5,801 votes) and was very well received by critics."/>
    <s v="2 Seasons"/>
    <x v="0"/>
  </r>
  <r>
    <x v="836"/>
    <x v="5"/>
    <x v="4"/>
    <n v="8.9"/>
    <n v="72"/>
    <x v="41"/>
    <s v="Follow the story of R&amp;B pioneers Michael Bivins, Ricky Bell, Ronnie Devoe, Bobby Brown, Ralph Tresvant and Johnny Gill as they navigate fame from their native Boston to Hollywood and beyond.The New Edition Story featuring Wood Harris and Krystal M. Harris has one or more episodes streaming via tv everywhere with BET (Via Cable/Satellite Provider). It's a biography and drama show with 6 episodes over 2 seasons. The New Edition Story is no longer running and has no plans to air new episodes or seasons. It has a high IMDb audience rating of 8.9 (2,528 votes) and was very well received by critics."/>
    <s v="2Seasons"/>
    <x v="169"/>
  </r>
  <r>
    <x v="837"/>
    <x v="36"/>
    <x v="2"/>
    <n v="7"/>
    <n v="72"/>
    <x v="22"/>
    <s v="A working-class family struggles to get by on a limited income in the fictional town of Lanford, Illinois.Roseanne featuring Roseanne Barr and John Goodman has one or more episodes streaming with subscription on Hulu, free on PlutoTV, free on Sony Crackle, and 8 others. It's a comedy and drama show with 232 episodes over 11 seasons. Roseanne is no longer running and has no plans to air new episodes or seasons. It has a better than average IMDb audience rating of 7.0 (38,881 votes) and was well received by critics."/>
    <s v="11Seasons"/>
    <x v="170"/>
  </r>
  <r>
    <x v="838"/>
    <x v="2"/>
    <x v="1"/>
    <n v="8.4"/>
    <n v="72"/>
    <x v="22"/>
    <s v="Set in 1996 in Lincolnshire, the show tells the tragic and humorous story of a very troubled young girl Rae, who has just left a psychiatric hospital, where she has spent four months after attempting suicide, begins to reconnect with her best friend Chloe and her group, who are unaware of Rae's mental health and body image problems, believing she was in France for the past four months.My Mad Fat Diary featuring Sharon Rooney and Nico Mirallegro has one or more episodes streaming with subscription on Hulu. It's a comedy and drama show with 16 episodes over 3 seasons. My Mad Fat Diary is no longer running and has no plans to air new episodes or seasons. It has a high IMDb audience rating of 8.4 (14,930 votes) and was very well received by critics."/>
    <s v="3Seasons"/>
    <x v="4"/>
  </r>
  <r>
    <x v="839"/>
    <x v="4"/>
    <x v="1"/>
    <n v="8.6"/>
    <n v="72"/>
    <x v="121"/>
    <s v="Drivers, managers and team owners live life in the fast lane -- both on and off the track -- during one cutthroat season of Formula 1 racing.Formula 1: Drive to Survive featuring Brendon Hartley and Charles Leclerc has one or more episodes streaming with subscription on Netflix. It's a documentary and sport show with 20 episodes over 2 seasons. Formula 1: Drive to Survive is still airing with no announced date for the next episode or season. It has a high IMDb audience rating of 8.6 (16,405 votes)."/>
    <s v="2 Seasons"/>
    <x v="0"/>
  </r>
  <r>
    <x v="840"/>
    <x v="34"/>
    <x v="2"/>
    <n v="7.2"/>
    <n v="72"/>
    <x v="19"/>
    <s v="Will Truman and Grace Adler are best friends living in New York, and when Grace's engagement falls apart, she moves in with Will. Together, along with their friends, they go through the trials of dating, sex, relationships and their careers, butting heads at times but ultimately supporting one another while exchanging plenty of witty banter along the way.Will &amp; Grace featuring Eric McCormack and Debra Messing has one or more episodes streaming with subscription on Hulu, streaming via tv everywhere with NBC (Via Cable/Satellite Provider), free on NBC, and 7 others. It's a comedy and LGBTQ show with 246 episodes over 11 seasons. Will &amp; Grace is no longer running and has no plans to air new episodes or seasons. It has a better than average IMDb audience rating of 7.2 (50,082 votes)."/>
    <s v="11 Seasons"/>
    <x v="43"/>
  </r>
  <r>
    <x v="841"/>
    <x v="3"/>
    <x v="0"/>
    <n v="7.2"/>
    <n v="72"/>
    <x v="1"/>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Frontier featuring Jason Momoa and Landon Liboiron has one or more episodes streaming with subscription on Netflix. It's an action &amp; adventure and drama show with 18 episodes over 3 seasons. Frontier is still airing with no announced date for the next episode or season. It has a better than average IMDb audience rating of 7.2 (15,990 votes) and was well received by critics."/>
    <s v="3 Seasons"/>
    <x v="0"/>
  </r>
  <r>
    <x v="842"/>
    <x v="11"/>
    <x v="1"/>
    <n v="7.5"/>
    <n v="72"/>
    <x v="22"/>
    <s v="A dysfunctional family tries to help each other navigate the modern dating scene. Recent divorcee Tara and her bachelor brother coach each other through the crazy world of dating (on-line and off), while living under the same roof again for the second time and raising her teenage daughter.Casual featuring Michaela Watkins and Tommy Dewey has one or more episodes streaming with subscription on Hulu, available for purchase on iTunes, available for purchase on Google Play, and 3 others. It's a comedy and drama show with 44 episodes over 4 seasons. Casual is no longer running and has no plans to air new episodes or seasons. It has a better than average IMDb audience rating of 7.5 (7,131 votes) and was very well received by critics."/>
    <s v="4Seasons"/>
    <x v="4"/>
  </r>
  <r>
    <x v="843"/>
    <x v="11"/>
    <x v="0"/>
    <n v="7.5"/>
    <n v="72"/>
    <x v="37"/>
    <s v="Danny is a gregarious, hedonistic romantic who gets drawn into the dangerous world of British espionage in this contemporary, emotional thriller. He falls for the anti-social but enigmatic Alex, both from opposite worlds, and they soon realise they’re perfect for each other. But when Alex suddenly disappears, Danny is utterly ill-equipped to take on his complex and codified world. Young, innocent and adrift he needs to decide whether he’s prepared to fight for the truth?London Spy featuring Ben Whishaw and Harriet Walter has one or more episodes streaming with subscription on Netflix, available for purchase on iTunes, available for purchase on Google Play, and 3 others. It's a crime and drama show with 5 episodes over 1 season. London Spy is no longer running and has no plans to air new episodes or seasons. It has a better than average IMDb audience rating of 7.5 (8,874 votes) and was well received by critics."/>
    <s v="1Season"/>
    <x v="0"/>
  </r>
  <r>
    <x v="844"/>
    <x v="5"/>
    <x v="0"/>
    <n v="7.3"/>
    <n v="72"/>
    <x v="143"/>
    <s v="A diverse anthology of ambitious, moving tales inspired by Philip K Dick's short stories.Philip K. Dick's Electric Dreams has one or more episodes streaming with subscription on Prime Video, available for purchase on iTunes, available for purchase on Google Play, and 3 others. It's a drama and fantasy show with 10 episodes over 1 season. Philip K. Dick's Electric Dreams is no longer running and has no plans to air new episodes or seasons. It has a better than average IMDb audience rating of 7.3 (12,714 votes) and was well received by critics."/>
    <s v="1Season"/>
    <x v="3"/>
  </r>
  <r>
    <x v="845"/>
    <x v="1"/>
    <x v="1"/>
    <n v="7.2"/>
    <n v="72"/>
    <x v="1"/>
    <s v="Five ordinary people with superhuman physical and mental abilities are brought together to form one extraordinary team of Alphas. Operating within the U.S. Department of Defense, the team investigates cases that point to others with Alpha abilities.Alphas featuring David Strathairn and Ryan Cartwright has one or more episodes available for purchase on iTunes, available for purchase on Google Play, available for purchase on Prime Video, and 1 other. It's an action &amp; adventure and drama show with 26 episodes over 2 seasons. Alphas is no longer running and has no plans to air new episodes or seasons. It has a better than average IMDb audience rating of 7.2 (27,380 votes) and was well received by critics."/>
    <s v="2Seasons"/>
    <x v="80"/>
  </r>
  <r>
    <x v="846"/>
    <x v="4"/>
    <x v="2"/>
    <n v="7.7"/>
    <n v="72"/>
    <x v="54"/>
    <s v="Year 198 of the Solar Era in Tokyo, special fire brigades are fighting against a phenomenon called spontaneous human combustion where humans beings are turned into living infernos called &quot;Infernals&quot;. While the Infernals are first generation cases of spontaneous human combustion, later generations possess the ability to manipulate flames while retaining human form. Shinra Kusakabe, a youth who gained the nickname Devil's Footprints for his ability to ignite his feet at will, joins the Special Fire Force Company 8 which composes of other flames users as they work to extinguish any Infernals they encounter. As a faction that is creating Infernals appears, Shira begins to uncover the truth behind a mysterious fire that caused the death of his family twelve years ago.Fire Force featuring Gakuto Kajiwara and Yuusuke Kobayashi has one or more episodes streaming with subscription on Hulu, streaming via tv everywhere with Adult Swim (Via Cable/Satellite Provider), free on Adult Swim, and 5 others. It's an action &amp; adventure and animation show with 35 episodes over 2 seasons. Fire Force has a new episode airing on September 18th, 2020 (PDT). It has a high IMDb audience rating of 7.7 (2,335 votes)."/>
    <s v="2Seasons"/>
    <x v="63"/>
  </r>
  <r>
    <x v="847"/>
    <x v="21"/>
    <x v="3"/>
    <n v="7.4"/>
    <n v="72"/>
    <x v="144"/>
    <s v="In this contemporary take on the beloved book series, five best friends launch a baby-sitting business that's big on fun and adventure.The Baby-Sitters Club featuring Malia Baker and Shay Rudolph has one or more episodes streaming with subscription on Netflix. It's a comedy and drama show with 10 episodes over 1 season. The Baby-Sitters Club is still airing with no announced date for the next episode or season. It has a better than average IMDb audience rating of 7.4 (1,832 votes) and was very well received by critics."/>
    <s v="1Season"/>
    <x v="0"/>
  </r>
  <r>
    <x v="848"/>
    <x v="53"/>
    <x v="1"/>
    <n v="7"/>
    <n v="72"/>
    <x v="28"/>
    <s v="The world's first mega-soap, and one of the most popular ever produced, Dallas had it all. Beautiful women, expensive cars, and men playing Monopoly with real buildings. Famous for one of the best cliffhangers in TV history, as the world asked &quot;Who shot J.R.?&quot; A slow-burner to begin with, Dallas hit its stride in the 2nd season, with long storylines and expert character development. Dallas ruled the airwaves in the 1980's.Dallas featuring Patrick Duffy and Kimberly Foster has one or more episodes free on IMDb TV, available for purchase on iTunes, available for purchase on Google Play, and 3 others. It's a drama and romance show with 358 episodes over 14 seasons. Dallas is no longer running and has no plans to air new episodes or seasons. It has a better than average IMDb audience rating of 7.0 (11,303 votes)."/>
    <s v="14 Seasons"/>
    <x v="22"/>
  </r>
  <r>
    <x v="849"/>
    <x v="20"/>
    <x v="3"/>
    <n v="6.6"/>
    <n v="72"/>
    <x v="55"/>
    <s v="Watch Carly, Sam, and Freddie, as they try to balance their everyday 8th grade lives with their newfound fame managing and starring in the most awesome show on the web.iCarly featuring Miranda Cosgrove and Jennette McCurdy has one or more episodes streaming via tv everywhere with Nickelodeon (Via Cable/Satellite Provider), free on Nickelodeon, streaming with subscription on Hoopla, and 5 others. It's a comedy and family show with 135 episodes over 6 seasons. iCarly is no longer running and has no plans to air new episodes or seasons. It has an average IMDb audience rating of 6.6 (31,598 votes)."/>
    <s v="6 Seasons"/>
    <x v="171"/>
  </r>
  <r>
    <x v="850"/>
    <x v="7"/>
    <x v="0"/>
    <n v="7.9"/>
    <n v="72"/>
    <x v="11"/>
    <s v="In a fantasy world, fighter Tatsumi sets out for the Capitol to earn money for his starving village, and finds a world of unimaginable corruption, all spreading from the depraved Prime Minister who controls the child Emperor's ear. After nearly becoming a victim of this corruption himself, Tatsumi is recruited by Night Raid, a group of assassins dedicated to eliminating the corruption plaguing the Capitol by mercilessly killing those responsible.Akame ga Kill! featuring Yukari Tamura and Sora Amamiya has one or more episodes streaming with subscription on Netflix, streaming with subscription on Hulu, free on Crunchyroll, and 5 others. It's an action &amp; adventure and animation show with 24 episodes over 1 season. Akame ga Kill! is no longer running and has no plans to air new episodes or seasons. It has a high IMDb audience rating of 7.9 (14,692 votes)."/>
    <s v="1Season"/>
    <x v="9"/>
  </r>
  <r>
    <x v="851"/>
    <x v="7"/>
    <x v="0"/>
    <n v="7.1"/>
    <n v="72"/>
    <x v="39"/>
    <s v="Set in the volatile world of 17th century Massachusetts, 'Salem' explores what really fueled the town's infamous witch trials and dares to uncover the dark, supernatural truth hiding behind the veil of this infamous period in American history. In Salem, witches are real, but they are not who or what they seem.Salem featuring Janet Montgomery and Shane West has one or more episodes streaming with subscription on Hulu, available for purchase on iTunes, available for purchase on Google Play, and 3 others. It's an action &amp; adventure and drama show with 36 episodes over 3 seasons. Salem is no longer running and has no plans to air new episodes or seasons. It has a better than average IMDb audience rating of 7.1 (21,802 votes) and was well received by critics."/>
    <s v="3Seasons"/>
    <x v="4"/>
  </r>
  <r>
    <x v="852"/>
    <x v="13"/>
    <x v="0"/>
    <n v="7.6"/>
    <n v="72"/>
    <x v="37"/>
    <s v="A group of lesbian friends struggle with romance and careers in Los Angeles.The L Word featuring Jennifer Beals and Pam Grier has one or more episodes streaming on Showtime, streaming with subscription on fuboTV, available for purchase on iTunes, and 4 others. It's a drama and LGBTQ show with 71 episodes over 6 seasons. The L Word is no longer running and has no plans to air new episodes or seasons. It has a high IMDb audience rating of 7.6 (23,690 votes) and was met with mixed reviews by critics."/>
    <s v="6Seasons"/>
    <x v="147"/>
  </r>
  <r>
    <x v="853"/>
    <x v="33"/>
    <x v="3"/>
    <n v="8.1"/>
    <n v="72"/>
    <x v="145"/>
    <s v="On a special inner city street, the inhabitants—human and muppet—teach preschoolers basic educational and social concepts using comedy, cartoons, games, and songs.Sesame Street featuring Annette Calud and Bob McGrath has one or more episodes streaming with subscription on HBO MAX, streaming on HBO, streaming with subscription on Prime Video, and 5 others. It's an action &amp; adventure and animation show with 2,398 episodes over 51 seasons. Sesame Street is still airing with no announced date for the next episode or season. It has a high IMDb audience rating of 8.1 (11,725 votes)."/>
    <s v="51 Seasons"/>
    <x v="172"/>
  </r>
  <r>
    <x v="854"/>
    <x v="21"/>
    <x v="2"/>
    <n v="7.5"/>
    <n v="72"/>
    <x v="74"/>
    <s v="On their dying planet, the Autobots and Decepticons battle fiercely for control of the AllSpark in the Transformers universe's origin story.Transformers: War for Cybertron featuring Jason Marnocha and Jake Foushee has one or more episodes streaming with subscription on Netflix. It's an action &amp; adventure and animation show with 6 episodes over 1 season. Transformers: War for Cybertron is still airing with no announced date for the next episode or season. It has a better than average IMDb audience rating of 7.5 (1,718 votes) and was very well received by critics."/>
    <s v="1Season"/>
    <x v="0"/>
  </r>
  <r>
    <x v="855"/>
    <x v="8"/>
    <x v="2"/>
    <n v="7.2"/>
    <n v="72"/>
    <x v="7"/>
    <s v="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Ben 10 featuring Tara Strong and Claudia Schmidt has one or more episodes streaming with subscription on HBO MAX, streaming with subscription on Hulu, available for purchase on iTunes, and 3 others. It's an action &amp; adventure and animation show with 52 episodes over 4 seasons. Ben 10 is no longer running and has no plans to air new episodes or seasons. It has a better than average IMDb audience rating of 7.2 (12,131 votes)."/>
    <s v="4 Seasons"/>
    <x v="173"/>
  </r>
  <r>
    <x v="856"/>
    <x v="9"/>
    <x v="3"/>
    <n v="8.3000000000000007"/>
    <n v="72"/>
    <x v="7"/>
    <s v="Spider-Man, also known as Spider-Man: The Animated Series, was an American animated television series based on the Marvel Comics superhero, Spider-Man. The show ran on Fox Kids from November 19, 1994, to January 31, 1998. The producer/story editor was John Semper, Jr. and the production company was Marvel Films Animation. The instrumental theme song for the series was performed by Joe Perry of Aerosmith. Reruns can currently be seen for free at Marvel.com.Spider-Man featuring Rodney Saulsberry and Christopher Daniel Barnes has one or more episodes streaming with subscription on Disney+, available for purchase on iTunes, available for purchase on Google Play, and 2 others. It's an action &amp; adventure and animation show with 66 episodes over 5 seasons. Spider-Man is no longer running and has no plans to air new episodes or seasons. It has a high IMDb audience rating of 8.3 (25,913 votes)."/>
    <s v="5Seasons"/>
    <x v="14"/>
  </r>
  <r>
    <x v="857"/>
    <x v="3"/>
    <x v="0"/>
    <n v="7.5"/>
    <n v="72"/>
    <x v="22"/>
    <s v="Chip Baskets wants to follow his dream of being a French clown—however, reality keeps interfering. Saddled with financial difficulties and facing an impenetrable language barrier, he moves back home to Bakersfield with high hopes. There, he is forced to confront his past while working as a rodeo clown and competing with his siblings for his mother's approval and affection.Baskets featuring Zach Galifianakis and Martha Kelly has one or more episodes streaming with subscription on Hulu, available for purchase on iTunes, available for purchase on Google Play, and 3 others. It's a comedy and drama show with 40 episodes over 4 seasons. Baskets is no longer running and has no plans to air new episodes or seasons. It has a better than average IMDb audience rating of 7.5 (9,943 votes) and was very well received by critics."/>
    <s v="4 Seasons"/>
    <x v="4"/>
  </r>
  <r>
    <x v="858"/>
    <x v="14"/>
    <x v="4"/>
    <n v="9.1999999999999993"/>
    <n v="72"/>
    <x v="146"/>
    <s v="Set in the summer of 1998 it is a story about conflicting emotions towards family members from the eyes of a twelve year old.Yeh Meri Family featuring Ahan Nirban and Ruhi Khan has one or more episodes streaming with subscription on Netflix. It's a comedy and drama show with 7 episodes over 1 season. Yeh Meri Family is still airing with no announced date for the next episode or season. It has a very high IMDb audience rating of 9.2 (18,523 votes)."/>
    <s v="1Season"/>
    <x v="0"/>
  </r>
  <r>
    <x v="859"/>
    <x v="29"/>
    <x v="2"/>
    <n v="7.9"/>
    <n v="72"/>
    <x v="8"/>
    <s v="The office politics and interpersonal relationships among the staff of WNYX NewsRadio, New York's #2 news radio station.NewsRadio featuring Joe Rogan and Dave Foley has one or more episodes free on Sony Crackle, free on Plex, free on IMDb TV, and 4 others. It's a comedy and romance show with 98 episodes over 5 seasons. NewsRadio is no longer running and has no plans to air new episodes or seasons. It has a high IMDb audience rating of 7.9 (12,993 votes) and was very well received by critics."/>
    <s v="5Seasons"/>
    <x v="22"/>
  </r>
  <r>
    <x v="860"/>
    <x v="3"/>
    <x v="1"/>
    <n v="8.1"/>
    <n v="72"/>
    <x v="18"/>
    <s v="A young fresh-faced Hill staffer gets her first job in Washington, D.C. and discovering two things: 1. The government has stopped working, and 2. alien spawn have come to earth and eaten the brains of a growing number of Congressmen and Hill staffers.BrainDead featuring Mary Elizabeth Winstead and Danny Pino has one or more episodes streaming with subscription on Prime Video, streaming on CBS All Access, and available for purchase on Prime Video. It's a comedy and drama show with 13 episodes over 1 season. BrainDead is no longer running and has no plans to air new episodes or seasons. It has a high IMDb audience rating of 8.1 (10,009 votes) and was well received by critics."/>
    <s v="1 Season"/>
    <x v="64"/>
  </r>
  <r>
    <x v="861"/>
    <x v="19"/>
    <x v="1"/>
    <n v="6.7"/>
    <n v="72"/>
    <x v="79"/>
    <s v="The exploits of the Los Angeles–based Office of Special Projects (OSP), an elite division of the Naval Criminal Investigative Service that specializes in undercover assignments.NCIS: Los Angeles featuring Chris O'Donnell and LL Cool J has one or more episodes streaming on CBS All Access, streaming via tv everywhere with USA (Via Cable/Satellite Provider), free on CBS, and 9 others. It's an action &amp; adventure and crime show with 264 episodes over 11 seasons. NCIS: Los Angeles is still airing with no announced date for the next episode or season. It has a better than average IMDb audience rating of 6.7 (47,608 votes)."/>
    <s v="11Seasons"/>
    <x v="174"/>
  </r>
  <r>
    <x v="862"/>
    <x v="4"/>
    <x v="1"/>
    <n v="7.1"/>
    <n v="72"/>
    <x v="108"/>
    <s v="In Beacon Heights, a seemingly perfect town, a group of three college friends struggle with the stress of being overachievers. In the aftermath of the town’s first murder, each Perfectionist hides behind a secret, a lie and an alibi.Pretty Little Liars: The Perfectionists featuring Eli Brown and Sofia Carson has one or more episodes streaming with subscription on Hulu, free on Freeform, streaming with subscription on fuboTV, and 3 others. It's a crime and drama show with 10 episodes over 1 season. Pretty Little Liars: The Perfectionists is no longer running and has no plans to air new episodes or seasons. It has a better than average IMDb audience rating of 7.1 (3,546 votes) and was very well received by critics."/>
    <s v="1Season"/>
    <x v="101"/>
  </r>
  <r>
    <x v="863"/>
    <x v="24"/>
    <x v="2"/>
    <n v="7.5"/>
    <n v="72"/>
    <x v="1"/>
    <s v="Frank Herbert's Children of Dune is a three-part miniseries written by John Harrison and directed by Greg Yaitanes, based on Frank Herbert's novels Dune Messiah and Children of Dune. First broadcast in the United States on March 16, 2003, Children of Dune is the sequel to the 2000 miniseries Frank Herbert's Dune and produced by the Sci Fi Channel. As of 2004, this miniseries and its predecessor were two of the three highest-rated programs ever to be broadcast on the Sci-Fi Channel.Frank Herbert's Children of Dune featuring James McAvoy and Jessica Brooks has one or more episodes streaming with subscription on Hoopla. It's an action &amp; adventure and drama show with 3 episodes over 1 season. Frank Herbert's Children of Dune is no longer running and has no plans to air new episodes or seasons. It has a better than average IMDb audience rating of 7.5 (11,907 votes)."/>
    <s v="1 Season"/>
    <x v="124"/>
  </r>
  <r>
    <x v="864"/>
    <x v="29"/>
    <x v="0"/>
    <n v="8.3000000000000007"/>
    <n v="72"/>
    <x v="87"/>
    <s v="Mr. Show with Bob and David is an American sketch comedy series starring and hosted by Saturday Night Live writer/actor Bob Odenkirk and stand up comedian/actor David Cross. It aired on HBO from November 3, 1995 to December 28, 1998. Cross and Odenkirk introduced most episodes as heightened versions of themselves, before transitioning to a mixture of live sketches and pre-taped segments. The show featured a number of alternative comedians as both cast members and writers, including Sarah Silverman, Paul F. Tompkins, Jack Black, Tom Kenny, Mary Lynn Rajskub, Brian Posehn, Jerry Minor, Scott Aukerman, and Dino Stamatopoulos.It was nominated for four Primetime Emmy Awards, as well as a Golden Satellite Award.Mr. Show with Bob and David featuring Jill Talley and Brian Posehn has one or more episodes streaming with subscription on HBO MAX, streaming on HBO, available for purchase on iTunes, and 4 others. It's a comedy show with 30 episodes over 4 seasons. Mr. Show with Bob and David is no longer running and has no plans to air new episodes or seasons. It has a high IMDb audience rating of 8.3 (8,546 votes) and was very well received by critics."/>
    <s v="4 Seasons"/>
    <x v="1"/>
  </r>
  <r>
    <x v="865"/>
    <x v="2"/>
    <x v="0"/>
    <n v="7.1"/>
    <n v="72"/>
    <x v="123"/>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Hemlock Grove featuring Landon Liboiron and Bill Skarsgård has one or more episodes streaming with subscription on Netflix, streaming with subscription on Hoopla, available for purchase on iTunes, and 4 others. It's a drama and horror show with 33 episodes over 3 seasons. Hemlock Grove is no longer running and has no plans to air new episodes or seasons. It has a better than average IMDb audience rating of 7.1 (36,197 votes) and was not well received by critics."/>
    <s v="3Seasons"/>
    <x v="83"/>
  </r>
  <r>
    <x v="866"/>
    <x v="21"/>
    <x v="1"/>
    <n v="7.4"/>
    <n v="72"/>
    <x v="28"/>
    <s v="Lifelong friends Maddie, Helen and Dana Sue lift each other as they juggle relationships, family and careers in the small, Southern town of Serenity.Sweet Magnolias featuring Anneliese Judge and JoAnna Garcia has one or more episodes streaming with subscription on Netflix. It's a drama and romance show with 10 episodes over 1 season. Sweet Magnolias is still airing with no announced date for the next episode or season. It has a better than average IMDb audience rating of 7.4 (5,986 votes) and was well received by critics."/>
    <s v="1Season"/>
    <x v="0"/>
  </r>
  <r>
    <x v="867"/>
    <x v="35"/>
    <x v="3"/>
    <n v="8.3000000000000007"/>
    <n v="72"/>
    <x v="22"/>
    <s v="Archie Bunker, a working class bigot, constantly squabbles with his family over the important issues of the day.All in the Family featuring Rob Reiner and Carroll O'Connor has one or more episodes free on Sony Crackle, free on Plex, and available for purchase on iTunes. It's a comedy and drama show with 211 episodes over 9 seasons. All in the Family is no longer running and has no plans to air new episodes or seasons. It has a high IMDb audience rating of 8.3 (13,608 votes)."/>
    <s v="9Seasons"/>
    <x v="22"/>
  </r>
  <r>
    <x v="868"/>
    <x v="3"/>
    <x v="0"/>
    <n v="7.7"/>
    <n v="72"/>
    <x v="5"/>
    <s v="A group of slaves plan a daring 600-mile escape from a Georgia plantation. Along the way, they are aided by a secret abolitionist couple running a station on the Underground Railroad as they attempt to evade the people charged with bringing them back, dead or alive.Underground featuring Aldis Hodge and Jurnee Smollett has one or more episodes streaming with subscription on Hulu, available for purchase on iTunes, available for purchase on Google Play, and 5 others. It's an action &amp; adventure and drama show with 20 episodes over 2 seasons. Underground is no longer running and has no plans to air new episodes or seasons. It has a high IMDb audience rating of 7.7 (4,629 votes) and was very well received by critics."/>
    <s v="2Seasons"/>
    <x v="4"/>
  </r>
  <r>
    <x v="869"/>
    <x v="54"/>
    <x v="1"/>
    <n v="8.5"/>
    <n v="72"/>
    <x v="13"/>
    <s v="Alfred Hitchcock Presents is an American television anthology series hosted by Alfred Hitchcock. The series featured dramas, thrillers, and mysteries. By the time the show premiered on October 2, 1955, Hitchcock had been directing films for over three decades. Time magazine named Alfred Hitchcock Presents one of &quot;The 100 Best TV Shows of All-TIME&quot;. A series of literary anthologies with the running title Alfred Hitchcock Presents were issued to capitalize on the success of the television series. One volume, devoted to stories that censors wouldn't allow to be adapted for the TV series, was entitled Alfred Hitchcock Presents: Stories They Wouldn't Let Me Do on TV—though eventually several of the stories collected were adapted.Alfred Hitchcock Presents featuring Alfred Hitchcock has one or more episodes streaming with subscription on Hulu, streaming with subscription on Best TV Ever (Via Prime Video), free on Peacock, and 1 other. It's a comedy and crime show with 268 episodes over 7 seasons. Alfred Hitchcock Presents is no longer running and has no plans to air new episodes or seasons. It has a high IMDb audience rating of 8.5 (14,418 votes)."/>
    <s v="7Seasons"/>
    <x v="17"/>
  </r>
  <r>
    <x v="870"/>
    <x v="19"/>
    <x v="2"/>
    <n v="7"/>
    <n v="72"/>
    <x v="22"/>
    <s v="A young E.R. doctor who, after being wrongly blamed for a patient's death, moves to the Hamptons and becomes the reluctant &quot;doctor for hire&quot; to the rich and famous. When the attractive administrator of the local hospital asks him to treat the town's less fortunate, he finds himself walking the line between doing well for himself and doing good for others.Royal Pains featuring Paulo Costanzo and Brooke D'Orsay has one or more episodes free on IMDb TV, free on Peacock, available for purchase on iTunes, and 4 others. It's a comedy and drama show with 104 episodes over 8 seasons. Royal Pains is no longer running and has no plans to air new episodes or seasons. It has a better than average IMDb audience rating of 7.0 (18,767 votes) and was very well received by critics."/>
    <s v="8Seasons"/>
    <x v="22"/>
  </r>
  <r>
    <x v="871"/>
    <x v="23"/>
    <x v="1"/>
    <n v="7"/>
    <n v="72"/>
    <x v="0"/>
    <s v="Detective Catherine Chandler is a smart, no-nonsense homicide detective. When she was a teenager, she witnessed the murder of her mother at the hands of two gunmen and herself was saved by someone – or something. Years have passed and while investigating a murder, Catherine discovers a clue that leads her to Vincent Keller, who was reportedly killed in 2002. Catherine learns that Vincent is actually still alive and that it was he who saved her many years before. For mysterious reasons that have forced him to live outside of traditional society, Vincent has been in hiding for the past 10 years to guard his secret – when he is enraged, he becomes a terrifying beast, unable to control his super-strength and heightened senses.Beauty and the Beast featuring Kristin Kreuk and Jay Ryan has one or more episodes streaming with subscription on Netflix, streaming with subscription on Prime Video, streaming on CBS All Access, and 5 others. It's a crime and drama show with 70 episodes over 4 seasons. Beauty and the Beast is no longer running and has no plans to air new episodes or seasons. It has a better than average IMDb audience rating of 7.0 (6,036 votes) and was met with mixed reviews by critics."/>
    <s v="4 Seasons"/>
    <x v="175"/>
  </r>
  <r>
    <x v="872"/>
    <x v="4"/>
    <x v="1"/>
    <n v="7.2"/>
    <n v="72"/>
    <x v="147"/>
    <s v="Emily Dickinson. Poet. Daughter. Total rebel. In this coming-of-age story, Emily’s determined to become the world’s greatest poet.Dickinson featuring Hailee Steinfeld and Toby Huss has one or more episodes streaming with subscription on Apple TV+. It's a biography and comedy show with 10 episodes over 1 season. Dickinson is still airing with no announced date for the next episode or season. It has a better than average IMDb audience rating of 7.2 (4,398 votes) and was well received by critics."/>
    <s v="1Season"/>
    <x v="52"/>
  </r>
  <r>
    <x v="873"/>
    <x v="55"/>
    <x v="1"/>
    <n v="7"/>
    <n v="72"/>
    <x v="0"/>
    <s v="An unassuming mystery writer turned sleuth uses her professional insight to help solve real-life homicide cases.Murder, She Wrote featuring Angela Lansbury has one or more episodes free on IMDb TV, and free on Peacock. It's a crime and drama show with 265 episodes over 12 seasons. Murder, She Wrote is no longer running and has no plans to air new episodes or seasons. It has a better than average IMDb audience rating of 7.0 (17,665 votes)."/>
    <s v="12 Seasons"/>
    <x v="22"/>
  </r>
  <r>
    <x v="874"/>
    <x v="17"/>
    <x v="0"/>
    <n v="7.7"/>
    <n v="72"/>
    <x v="6"/>
    <s v="The exploits a team of people whose job is to investigate the unusual, the strange and the extraterrestrial.Torchwood featuring John Barrowman and Eve Myles has one or more episodes streaming with subscription on HBO MAX, available for purchase on iTunes, available for purchase on Google Play, and 4 others. It's an action &amp; adventure and crime show with 41 episodes over 4 seasons. Torchwood is no longer running and has no plans to air new episodes or seasons. It has a high IMDb audience rating of 7.7 (38,011 votes)."/>
    <s v="4Seasons"/>
    <x v="57"/>
  </r>
  <r>
    <x v="875"/>
    <x v="11"/>
    <x v="1"/>
    <n v="8.1"/>
    <n v="72"/>
    <x v="101"/>
    <s v="Following the fact-based historical book of the same name, this drama follows the rise of Cromwell as he becomes Henry the VIII's closest advisor. England in the 1520s is a heartbeat from disaster. If the King dies without a male heir, the country could be destroyed by civil war. Henry VIII wants to annul his marriage of twenty years and marry Anne Boleyn. The Pope and most of Europe oppose him. Into this impasse steps Thomas Cromwell: a wholly original man, a charmer, and a bully, both idealist and opportunist, astute in reading people, and implacable in his ambition. But Henry is volatile: one day tender, one day murderous. Cromwell helps him break the opposition, but what will be the price of his triumph?Wolf Hall featuring Mark Rylance and Damian Lewis has one or more episodes available for purchase on iTunes, available for purchase on Google Play, available for purchase on Prime Video, and 2 others. It's a biography and drama show with 6 episodes over 1 season. Wolf Hall is no longer running and has no plans to air new episodes or seasons. It has a high IMDb audience rating of 8.1 (9,255 votes) and was very well received by critics."/>
    <s v="1 Season"/>
    <x v="80"/>
  </r>
  <r>
    <x v="876"/>
    <x v="6"/>
    <x v="1"/>
    <n v="8.6"/>
    <n v="72"/>
    <x v="22"/>
    <s v="Rake is an Australian television series, produced by Essential Media and Entertainment, that first aired on the Australian Broadcasting Corporation's ABC1 in 2010. It stars Richard Roxburgh as rake Cleaver Greene, a brilliant but self-destructive Sydney barrister. The show airs in the United States on DirecTV's Audience Network. The second season began on 6 September 2012. The Australian Broadcasting Corporation has also renewed the show for a third season Each episode entails Greene defending a different client.The Fox Network in the USA has commissioned an American version of Rake, starring Greg Kinnear as the lead character, renamed Keegan Deane for American audiences.Rake featuring Richard Roxburgh and Matt Day has one or more episodes streaming with subscription on Netflix, streaming with subscription on Prime Video, streaming with subscription on Hulu, and 7 others. It's a comedy and drama show with 60 episodes over 5 seasons. Rake is no longer running and has no plans to air new episodes or seasons. It has a high IMDb audience rating of 8.6 (5,892 votes) and was very well received by critics."/>
    <s v="5Seasons"/>
    <x v="20"/>
  </r>
  <r>
    <x v="877"/>
    <x v="23"/>
    <x v="1"/>
    <n v="8"/>
    <n v="72"/>
    <x v="148"/>
    <s v="It’s the true American story of a legendary family feud—one that spanned decades and nearly launched a war between Kentucky and West Virginia. The Hatfield-McCoy saga begins with Devil Anse Hatfield and Randall McCoy.. Close friends and comrades until near the end of the Civil War, they return to their neighboring homes—Hatfield in West Virginia, McCoy just across the Tug River border in Kentucky—to increasing tensions, misunderstandings and resentments that soon explode into all-out warfare between their families. As hostilities grow, friends, neighbors and outside forces join the fight, bringing the two states to the brink of another civil war.Hatfields &amp; McCoys featuring Kevin Costner and Bill Paxton has one or more episodes streaming on Starz, available for purchase on iTunes, available for purchase on Google Play, and 4 others. It's a drama and history show with 3 episodes over 1 season. Hatfields &amp; McCoys is no longer running and has no plans to air new episodes or seasons. It has a high IMDb audience rating of 8.0 (23,911 votes) and was well received by critics."/>
    <s v="1Season"/>
    <x v="72"/>
  </r>
  <r>
    <x v="878"/>
    <x v="9"/>
    <x v="2"/>
    <n v="8.3000000000000007"/>
    <n v="72"/>
    <x v="71"/>
    <s v="Babylon 5 is a five-mile long space station located in neutral space. Built by the Earth Alliance in the 2250s, it's goal is to maintain peace among the various alien races by providing a sanctuary where grievances and negotiations can be worked out among duly appointed ambassadors. A council made up of representatives from the five major space-faring civilizations - the Earth Alliance, Minbari Federation, Centauri Republic, Narn Regime, and Vorlon Empire - work with the League of Non-Aligned Worlds to keep interstellar relations under control. Aside from its diplomatic function, Babylon 5 also serves as a military post for Earth and a port of call for travelers, traders, businessmen, criminals, and Rangers.Babylon 5 featuring Bruce Boxleitner and Jerry Doyle has one or more episodes available for purchase on iTunes, available for purchase on Google Play, available for purchase on Prime Video, and 3 others. It's an action &amp; adventure and drama show with 111 episodes over 5 seasons. Babylon 5 is no longer running and has no plans to air new episodes or seasons. It has a high IMDb audience rating of 8.3 (27,424 votes)."/>
    <s v="5Seasons"/>
    <x v="80"/>
  </r>
  <r>
    <x v="879"/>
    <x v="14"/>
    <x v="0"/>
    <n v="8.3000000000000007"/>
    <n v="72"/>
    <x v="96"/>
    <s v="A satirical half-hour series from comedian Sacha Baron Cohen exploring the diverse individuals, from the infamous to the unknown across the political and cultural spectrum, who populate our unique nation.Who Is America? featuring Sacha Baron Cohen has one or more episodes streaming on Showtime, streaming with subscription on fuboTV, available for purchase on iTunes, and 2 others. It's a comedy show with 8 episodes over 1 season. Who Is America? is no longer running and has no plans to air new episodes or seasons. It has a high IMDb audience rating of 8.3 (14,916 votes) and was met with mixed reviews by critics."/>
    <s v="1Season"/>
    <x v="147"/>
  </r>
  <r>
    <x v="880"/>
    <x v="11"/>
    <x v="1"/>
    <n v="8.1999999999999993"/>
    <n v="72"/>
    <x v="16"/>
    <s v="Set up to take the blame for corporate fraud, young Macarena Ferreiro is locked up in a high-security women's prison surrounded by tough, ruthless criminals in this tense, provocative Spanish thriller.Locked Up featuring Maggie Civantos and Itziar Castro has one or more episodes streaming with subscription on Netflix. It's a comedy and crime show with 52 episodes over 4 seasons. Locked Up is no longer running and has no plans to air new episodes or seasons. It has a high IMDb audience rating of 8.2 (14,407 votes)."/>
    <s v="4Seasons"/>
    <x v="0"/>
  </r>
  <r>
    <x v="881"/>
    <x v="29"/>
    <x v="2"/>
    <n v="7.4"/>
    <n v="72"/>
    <x v="17"/>
    <s v="In his basement in San Francisco, boy-genius Quinn Mallory unlocks the doorway to an infinite number of Earths. During a test run, Quinn invites co-worker Wade Wells and his teacher Professor Maximillian Arturo to see his new invention. But an increase in power and an early departure leave all three, plus a washed-up soul singer named Rembrandt &quot;Crying Man&quot; Brown, lost in a parallel world. Now they must &quot;slide&quot; from world to world, not only adapting to their changing surroundings, but also trying to get back to their world. Will they ever make it home?Sliders featuring Cleavant Derricks and Kari Wuhrer has one or more episodes streaming with subscription on Hulu, free on Peacock, available for purchase on iTunes, and 3 others. It's an action &amp; adventure and fantasy show with 88 episodes over 5 seasons. Sliders is no longer running and has no plans to air new episodes or seasons. It has a better than average IMDb audience rating of 7.4 (16,144 votes)."/>
    <s v="5Seasons"/>
    <x v="17"/>
  </r>
  <r>
    <x v="882"/>
    <x v="21"/>
    <x v="0"/>
    <n v="7.6"/>
    <n v="72"/>
    <x v="149"/>
    <s v="Pulling directly from the underground ballroom community, voguing teams (aka &quot;houses&quot;) must compete in unbelievable balls and showcase sickening fashion in order to achieve &quot;legendary&quot; status.Legendary featuring Leiomy Maldonado and Dashaun Wesley Williams has one or more episodes streaming with subscription on HBO MAX. It's a game show and LGBTQ show with 10 episodes over 1 season. Legendary is still airing with no announced date for the next episode or season. It has a high IMDb audience rating of 7.6 (550 votes) and was very well received by critics."/>
    <s v="1Season"/>
    <x v="57"/>
  </r>
  <r>
    <x v="883"/>
    <x v="4"/>
    <x v="1"/>
    <n v="8.6999999999999993"/>
    <n v="72"/>
    <x v="137"/>
    <s v="Finding truth at the intersection of fantasy and reality in the veiled world of professional wrestling.Dark Side of the Ring featuring Chris Irvine and Mick Foley has one or more episodes streaming with subscription on Hulu, streaming via tv everywhere with VICELAND (Via Cable/Satellite Provider), available for purchase on Google Play, and 2 others. It's a documentary and drama show with 16 episodes over 2 seasons. Dark Side of the Ring is still airing with no announced date for the next episode or season. It has a high IMDb audience rating of 8.7 (1,306 votes) and was very well received by critics."/>
    <s v="2Seasons"/>
    <x v="176"/>
  </r>
  <r>
    <x v="884"/>
    <x v="13"/>
    <x v="2"/>
    <n v="8.3000000000000007"/>
    <n v="72"/>
    <x v="23"/>
    <s v="Doc Martin is a British television comedy drama series starring Martin Clunes in the title role. It was created by Dominic Minghella after the character of Dr. Martin Bamford in the 2000 comedy film Saving Grace. The show is set in the fictional seaside village of Portwenn and filmed on location in the village of Port Isaac, Cornwall, England, with most interior scenes shot in a converted local barn. Five series aired between 2004 and 2011, together with a feature-length special that aired on Christmas Day 2006. Series 6 began airing on ITV on 2 September 2013.Doc Martin featuring Martin Clunes and Caroline Catz has one or more episodes streaming with subscription on Hulu, streaming on AcornTV, free on PlutoTV, and 9 others. It's a comedy and drama show with 74 episodes over 10 seasons. Doc Martin is still airing with no announced date for the next episode or season. It has a high IMDb audience rating of 8.3 (11,916 votes)."/>
    <s v="10Seasons"/>
    <x v="177"/>
  </r>
  <r>
    <x v="885"/>
    <x v="56"/>
    <x v="2"/>
    <n v="7.5"/>
    <n v="72"/>
    <x v="1"/>
    <s v="Magnum, P.I. is an American television series starring Tom Selleck as Thomas Magnum, a private investigator living on Oahu, Hawaii. The series ran from 1980 to 1988 in first-run broadcast on the American CBS television network. According to the Nielsen ratings, Magnum, P.I. consistently ranked in the top twenty U.S. television programs during the first five years that the series was originally broadcast in the United States. Originally appearing in a prime time American network timeslot of 8 p.m. Eastern on Thursdays, Magnum, P.I. was one of the highest-rated shows on U.S. television.Magnum, P.I. featuring Tom Selleck and John Hillerman has one or more episodes streaming with subscription on Prime Video, available for purchase on iTunes, available for purchase on Google Play, and 2 others. It's an action &amp; adventure and crime show with 162 episodes over 8 seasons. Magnum, P.I. is no longer running and has no plans to air new episodes or seasons. It has a better than average IMDb audience rating of 7.5 (21,692 votes)."/>
    <s v="8Seasons"/>
    <x v="3"/>
  </r>
  <r>
    <x v="886"/>
    <x v="5"/>
    <x v="1"/>
    <n v="7"/>
    <n v="72"/>
    <x v="27"/>
    <s v="An MIT grad student and a tech superstar bring a low-level Pentagon official a staggering discovery that an asteroid is just six months away from colliding with Earth.Salvation featuring Santiago Cabrera and Jennifer Finnigan has one or more episodes streaming with subscription on Prime Video, streaming on CBS All Access, available for purchase on iTunes, and 5 others. It's an action &amp; adventure and drama show with 28 episodes over 2 seasons. Salvation is no longer running and has no plans to air new episodes or seasons. It has a better than average IMDb audience rating of 7.0 (17,257 votes) and was not well received by critics."/>
    <s v="2Seasons"/>
    <x v="64"/>
  </r>
  <r>
    <x v="887"/>
    <x v="38"/>
    <x v="3"/>
    <n v="7.9"/>
    <n v="72"/>
    <x v="82"/>
    <s v="Dexter's Laboratory is an American comic science fiction animated children's television series created by Genndy Tartakovsky for Cartoon Network. The series follows Dexter, a boy-genius with a secret laboratory filled with his collection of inventions. He constantly battles his sister Dee Dee, who always gains access despite his best efforts to keep her out, as well as his arch-rival and neighbor, Mandark. The series' first two seasons contain additional segments: Dial M for Monkey, which focuses on Dexter's pet lab monkey-turned-superhero, and The Justice Friends, about a trio of superheroes who share an apartment. Tartakovsky first pitched the series to Hanna-Barbera's animated shorts showcase World Premiere Toons, basing it on student films he produced while attending the California Institute of the Arts. Four shorts were created and broadcast on Cartoon Network in 1995 and 1996 before viewer approval ratings convinced the network to order a 13-episode first season, which premiered on April 28, 1996. By 1999, 52 episodes and a television movie had been produced, and Tartakovsky then left the series to begin work on his other projects, Samurai Jack and Star Wars: Clone Wars. In 2001, the network revived the series under a different production team at Cartoon Network Studios, and after 26 more episodes, the series ended on November 20, 2003.Dexter's Laboratory featuring Christine Cavanaugh and Allison Moore has one or more episodes streaming with subscription on HBO MAX, streaming with subscription on Hoopla, available for purchase on iTunes, and 2 others. It's an animation and children show with 262 episodes over 5 seasons. Dexter's Laboratory is no longer running and has no plans to air new episodes or seasons. It has a high IMDb audience rating of 7.9 (42,420 votes)."/>
    <s v="5Seasons"/>
    <x v="154"/>
  </r>
  <r>
    <x v="209"/>
    <x v="53"/>
    <x v="2"/>
    <n v="7.2"/>
    <n v="72"/>
    <x v="71"/>
    <s v="When the 12 Colonies of Man are wiped out by a cybernetic race called the Cylons, Commander Adama and the crew of the battlestar Galactica lead a ragtag fleet of human survivors in search of a &quot;mythical planet&quot; called Earth.Battlestar Galactica featuring Lorne Greene and Dirk Benedict has one or more episodes streaming with subscription on Hulu, free on NBC, available for purchase on iTunes, and 4 others. It's an action &amp; adventure and drama show with 24 episodes over 1 season. Battlestar Galactica is no longer running and has no plans to air new episodes or seasons. It has a better than average IMDb audience rating of 7.2 (13,470 votes) and was not well received by critics."/>
    <s v="1 Season"/>
    <x v="17"/>
  </r>
  <r>
    <x v="888"/>
    <x v="38"/>
    <x v="2"/>
    <n v="7.1"/>
    <n v="72"/>
    <x v="131"/>
    <s v="Ray Barone a successful sportswriter living on Long Island with his wife, Debra, daughter, Ally, and twin sons, Geoffrey and Michael. That's the good news. The bad news? Ray's meddling parents, Frank and Marie, live directly across the street and embrace the motto &quot;Su casa es mi casa,&quot; infiltrating their son's home to an extent unparalleled in television history.Everybody Loves Raymond featuring Ray Romano and Patricia Heaton has one or more episodes streaming via tv everywhere with TV Land (Via Cable/Satellite Provider), streaming with subscription on Peacock Premium, available for purchase on iTunes, and 5 others. It's a comedy show with 214 episodes over 9 seasons. Everybody Loves Raymond is no longer running and has no plans to air new episodes or seasons. It has a better than average IMDb audience rating of 7.1 (62,316 votes)."/>
    <s v="9Seasons"/>
    <x v="178"/>
  </r>
  <r>
    <x v="889"/>
    <x v="3"/>
    <x v="1"/>
    <n v="8.3000000000000007"/>
    <n v="72"/>
    <x v="54"/>
    <s v="Yūri Katsuki carried all of Japan's hopes on his shoulders to win at the Gran Prix Finale ice skating competition, but suffered a crushing defeat. He returns home to Kyushu and half feels like he wants to retire, and half feels like he wants to continue ice skating. Suddenly the five-time consecutive world championship ice skater Victor Nikiforov appears before him with Yuri Plisetsky, a young Russian figure skater who is already defeating his seniors. Victor and both Yuris take up the challenge on an unprecedented Gran Prix series.Yuri!!! on Ice featuring Toshiyuki Toyonaga and Kouki Uchiyama has one or more episodes free on Crunchyroll, streaming with subscription on Funimation, available for purchase on iTunes, and 3 others. It's an animation and anime show with 12 episodes over 1 season. Yuri!!! on Ice is no longer running and has no plans to air new episodes or seasons. It has a high IMDb audience rating of 8.3 (4,817 votes)."/>
    <s v="1Season"/>
    <x v="157"/>
  </r>
  <r>
    <x v="890"/>
    <x v="3"/>
    <x v="0"/>
    <n v="7.4"/>
    <n v="72"/>
    <x v="18"/>
    <s v="Kyle Barnes has been plagued by possession since he was a child. Now an adult, he embarks on a spiritual journey to find answers, but what he uncovers could mean the end of life on Earth as we know it.Outcast featuring Patrick Fugit and Philip Glenister has one or more episodes streaming on Cinemax, available for purchase on iTunes, available for purchase on Google Play, and 3 others. It's a drama and horror show with 20 episodes over 2 seasons. Outcast is no longer running and has no plans to air new episodes or seasons. It has a better than average IMDb audience rating of 7.4 (17,690 votes) and was well received by critics."/>
    <s v="2Seasons"/>
    <x v="71"/>
  </r>
  <r>
    <x v="891"/>
    <x v="55"/>
    <x v="2"/>
    <n v="8"/>
    <n v="72"/>
    <x v="7"/>
    <s v="The Transformers is the first animated television series in the Transformers franchise. The series depicts a war among giant robots that can transform into vehicles and other objects.The Transformers featuring Frank Welker and Peter Cullen has one or more episodes streaming with subscription on Prime Video, streaming on Starz, free on Tubi, and 3 others. It's an action &amp; adventure and animation show with 100 episodes over 4 seasons. The Transformers is no longer running and has no plans to air new episodes or seasons. It has a high IMDb audience rating of 8.0 (20,016 votes)."/>
    <s v="4Seasons"/>
    <x v="179"/>
  </r>
  <r>
    <x v="892"/>
    <x v="23"/>
    <x v="1"/>
    <n v="7.9"/>
    <n v="72"/>
    <x v="13"/>
    <s v="Michael lives in two separate realities after a car accident. In one reality, his wife Hannah survives the accident; in the other reality, his son Rex survives. Michael does not know which reality is &quot;real&quot;, and uses the wristbands to differentiate the two. He sees two therapists: Dr. Jonathan Lee in the &quot;red reality&quot; and Dr. Judith Evans in the &quot;green reality&quot;. At work, Michael's erratic behavior triggers clashes with his team; they do not know about Michael's uncanny ability to solve crimes using details from both realities.Awake featuring Jason Isaacs and Wilmer Valderrama has one or more episodes available for purchase on iTunes, available for purchase on Google Play, available for purchase on Prime Video, and 1 other. It's a drama and fantasy show with 13 episodes over 1 season. Awake is no longer running and has no plans to air new episodes or seasons. It has a high IMDb audience rating of 7.9 (20,216 votes) and was well received by critics."/>
    <s v="1Season"/>
    <x v="80"/>
  </r>
  <r>
    <x v="893"/>
    <x v="21"/>
    <x v="1"/>
    <n v="7.2"/>
    <n v="72"/>
    <x v="60"/>
    <s v="A detailed account of the McDonald's Monopoly game scam during the 1990s as told by the participants in the case, including the prizewinners and the FBI agents who caught the security officer who orchestrated the entire scheme.McMillion$ featuring Michael C. Pizzuto and Pelé Kizy has one or more episodes streaming with subscription on HBO MAX, and streaming on HBO. It's a crime and documentary show with 6 episodes over 1 season. McMillion$ is no longer running and has no plans to air new episodes or seasons. It has a better than average IMDb audience rating of 7.2 (4,989 votes) and was well received by critics."/>
    <s v="1Season"/>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n v="2008"/>
    <x v="0"/>
    <n v="9.5"/>
    <n v="100"/>
    <x v="0"/>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Breaking Bad featuring Bryan Cranston and Aaron Paul has one or more episodes streaming with subscription on Netflix, available for purchase on iTunes, available for purchase on Google Play, and 3 others. It's a crime and drama show with 62 episodes over 5 seasons. Breaking Bad is no longer running and has no plans to air new episodes or seasons. It has a very high IMDb audience rating of 9.5 (1,391,409 votes) and was very well received by critics."/>
    <s v="5Seasons"/>
    <x v="0"/>
  </r>
  <r>
    <x v="1"/>
    <n v="2011"/>
    <x v="0"/>
    <n v="9.3000000000000007"/>
    <n v="99"/>
    <x v="1"/>
    <s v="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Game of Thrones featuring Emilia Clarke and Lena Headey has one or more episodes streaming with subscription on HBO MAX, streaming on HBO, available for purchase on iTunes, and 5 others. It's an action &amp; adventure and drama show with 74 episodes over 8 seasons. Game of Thrones is no longer running and has no plans to air new episodes or seasons. It has a very high IMDb audience rating of 9.3 (1,704,731 votes) and was very well received by critics."/>
    <s v="8Seasons"/>
    <x v="1"/>
  </r>
  <r>
    <x v="2"/>
    <n v="2013"/>
    <x v="0"/>
    <n v="9.1999999999999993"/>
    <n v="97"/>
    <x v="2"/>
    <s v="Rick is a mentally-unbalanced but scientifically-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Rick and Morty featuring Justin Roiland and Chris Parnell has one or more episodes streaming with subscription on HBO MAX, streaming with subscription on Hulu, streaming via tv everywhere with Adult Swim (Via Cable/Satellite Provider), and 8 others. It's an action &amp; adventure and animation show with 42 episodes over 4 seasons. Rick and Morty is still airing with no announced date for the next episode or season. It has a very high IMDb audience rating of 9.2 (354,057 votes) and was very well received by critics."/>
    <s v="4Seasons"/>
    <x v="2"/>
  </r>
  <r>
    <x v="3"/>
    <n v="2016"/>
    <x v="1"/>
    <n v="8.8000000000000007"/>
    <n v="96"/>
    <x v="3"/>
    <s v="When a young boy vanishes, a small town uncovers a mystery involving secret experiments, terrifying supernatural forces, and one strange little girl.Stranger Things featuring Winona Ryder and David Harbour has one or more episodes streaming with subscription on Netflix. It's an action &amp; adventure and drama show with 25 episodes over 3 seasons. Stranger Things is still airing with no announced date for the next episode or season. It has a high IMDb audience rating of 8.8 (766,806 votes) and was very well received by critics."/>
    <s v="3Seasons"/>
    <x v="0"/>
  </r>
  <r>
    <x v="4"/>
    <n v="2019"/>
    <x v="0"/>
    <n v="8.6999999999999993"/>
    <n v="95"/>
    <x v="4"/>
    <s v="A group of vigilantes known informally as “The Boys” set out to take down corrupt superheroes with no more than blue-collar grit and a willingness to fight dirty.The Boys featuring Karl Urban and Jack Quaid has one or more episodes streaming with subscription on Prime Video, and available for purchase on VUDU. It's an action &amp; adventure and comedy show with 12 episodes over 2 seasons. The Boys has a new episode airing on September 17th, 2020 (PDT). It has a high IMDb audience rating of 8.7 (170,705 votes) and was very well received by critics."/>
    <s v="2Seasons"/>
    <x v="3"/>
  </r>
  <r>
    <x v="5"/>
    <n v="2017"/>
    <x v="1"/>
    <n v="8.8000000000000007"/>
    <n v="95"/>
    <x v="0"/>
    <s v="A missing child causes four families to help each other for answers. What they could not imagine is that this mystery would be connected to innumerable other secrets of the small town.Dark has one or more episodes streaming with subscription on Netflix. It's a crime and drama show with 26 episodes over 3 seasons. Dark is no longer running and has no plans to air new episodes or seasons. It has a high IMDb audience rating of 8.8 (249,219 votes) and was very well received by critics."/>
    <s v="3Seasons"/>
    <x v="0"/>
  </r>
  <r>
    <x v="6"/>
    <n v="2019"/>
    <x v="0"/>
    <n v="9.4"/>
    <n v="95"/>
    <x v="5"/>
    <s v="The true story of one of the worst man-made catastrophes in history: the catastrophic nuclear accident at Chernobyl. A tale of the brave men and women who sacrificed to save Europe from unimaginable disaster.Chernobyl featuring Jared Harris and Stellan Skarsgård has one or more episodes streaming with subscription on HBO MAX, streaming on HBO, available for purchase on Google Play, and 2 others. It's a drama and history show with 5 episodes over 1 season. Chernobyl is no longer running and has no plans to air new episodes or seasons. It has a very high IMDb audience rating of 9.4 (494,136 votes) and was very well received by critics."/>
    <s v="1Season"/>
    <x v="1"/>
  </r>
  <r>
    <x v="7"/>
    <n v="2010"/>
    <x v="1"/>
    <n v="9.1"/>
    <n v="94"/>
    <x v="6"/>
    <s v="A modern update finds the famous sleuth and his doctor partner solving crime in 21st century London.Sherlock featuring Benedict Cumberbatch and Martin Freeman has one or more episodes streaming with subscription on Netflix, available for purchase on iTunes, available for purchase on Google Play, and 3 others. It's an action &amp; adventure and crime show with 13 episodes over 4 seasons. Sherlock is no longer running and has no plans to air new episodes or seasons. It has a very high IMDb audience rating of 9.1 (778,486 votes) and was well received by critics."/>
    <s v="4Seasons"/>
    <x v="0"/>
  </r>
  <r>
    <x v="8"/>
    <n v="2014"/>
    <x v="0"/>
    <n v="8.9"/>
    <n v="94"/>
    <x v="0"/>
    <s v="A close-knit anthology series dealing with stories involving malice, violence and murder based in and around Minnesota.Fargo featuring Ewan McGregor and Michael Stuhlbarg has one or more episodes streaming with subscription on Hulu, available for purchase on iTunes, available for purchase on Google Play, and 3 others. It's a comedy and crime show with 30 episodes over 3 seasons. Fargo is still airing with no announced date for the next episode or season. It has a high IMDb audience rating of 8.9 (309,584 votes) and was very well received by critics."/>
    <s v="3Seasons"/>
    <x v="4"/>
  </r>
  <r>
    <x v="9"/>
    <n v="2005"/>
    <x v="2"/>
    <n v="9.1999999999999993"/>
    <n v="94"/>
    <x v="7"/>
    <s v="In a war-torn world of elemental magic, a young boy reawakens to undertake a dangerous mystic quest to fulfill his destiny as the Avatar, and bring peace to the world.Avatar: The Last Airbender featuring Olivia Hack and Jennie Kwan has one or more episodes streaming with subscription on Netflix, streaming on CBS All Access, streaming with subscription on Hoopla, and 6 others. It's an action &amp; adventure and animation show with 66 episodes over 3 seasons. Avatar: The Last Airbender is no longer running and has no plans to air new episodes or seasons. It has a very high IMDb audience rating of 9.2 (232,305 votes) and was very well received by critics."/>
    <s v="3Seasons"/>
    <x v="5"/>
  </r>
  <r>
    <x v="10"/>
    <n v="1994"/>
    <x v="1"/>
    <n v="8.9"/>
    <n v="94"/>
    <x v="8"/>
    <s v="The misadventures of a group of friends as they navigate the pitfalls of work, life and love in Manhattan.Friends featuring Matthew Perry and Matt LeBlanc has one or more episodes streaming with subscription on HBO MAX, streaming with subscription on Hulu, streaming via tv everywhere with TBS, and 6 others. It's a comedy and drama show with 238 episodes over 10 seasons. Friends is no longer running and has no plans to air new episodes or seasons. It has a high IMDb audience rating of 8.9 (785,332 votes) and was well received by critics."/>
    <s v="10Seasons"/>
    <x v="6"/>
  </r>
  <r>
    <x v="11"/>
    <n v="2005"/>
    <x v="1"/>
    <n v="8.9"/>
    <n v="93"/>
    <x v="9"/>
    <s v="The everyday lives of office employees in the Scranton, Pennsylvania branch of the fictional Dunder Mifflin Paper Company.The Office featuring Rainn Wilson and Jenna Fischer has one or more episodes streaming with subscription on Netflix, streaming via tv everywhere with Comedy Central (Via Cable/Satellite Provider), streaming with subscription on fuboTV, and 3 others. It's a comedy show with 224 episodes over 9 seasons. The Office is no longer running and has no plans to air new episodes or seasons. It has a high IMDb audience rating of 8.9 (378,896 votes) and was well received by critics."/>
    <s v="9Seasons"/>
    <x v="7"/>
  </r>
  <r>
    <x v="12"/>
    <n v="2005"/>
    <x v="1"/>
    <n v="8.4"/>
    <n v="93"/>
    <x v="3"/>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Supernatural featuring Jensen Ackles and Jared Padalecki has one or more episodes streaming with subscription on Netflix, streaming via tv everywhere with TNT, free on The CW, and 6 others. It's a drama and fantasy show with 322 episodes over 15 seasons. Supernatural has a new episode airing on October 8th, 2020 (PDT). It has a high IMDb audience rating of 8.4 (378,738 votes) and was very well received by critics."/>
    <s v="15 Seasons"/>
    <x v="8"/>
  </r>
  <r>
    <x v="13"/>
    <n v="2002"/>
    <x v="0"/>
    <n v="9.3000000000000007"/>
    <n v="93"/>
    <x v="0"/>
    <s v="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he Wire featuring Dominic West and Lance Reddick has one or more episodes streaming with subscription on HBO MAX, streaming on HBO, available for purchase on iTunes, and 5 others. It's a crime and drama show with 60 episodes over 5 seasons. The Wire is no longer running and has no plans to air new episodes or seasons. It has a very high IMDb audience rating of 9.3 (274,706 votes) and was very well received by critics."/>
    <s v="5Seasons"/>
    <x v="1"/>
  </r>
  <r>
    <x v="14"/>
    <n v="2015"/>
    <x v="0"/>
    <n v="8.6999999999999993"/>
    <n v="92"/>
    <x v="10"/>
    <s v="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quot;.Better Call Saul featuring Bob Odenkirk and Jonathan Banks has one or more episodes streaming with subscription on Netflix, available for purchase on iTunes, available for purchase on Google Play, and 3 others. It's a comedy and crime show with 50 episodes over 5 seasons. Better Call Saul is still airing with no announced date for the next episode or season. It has a high IMDb audience rating of 8.7 (305,414 votes) and was very well received by critics."/>
    <s v="5Seasons"/>
    <x v="0"/>
  </r>
  <r>
    <x v="15"/>
    <n v="2013"/>
    <x v="0"/>
    <n v="8.8000000000000007"/>
    <n v="92"/>
    <x v="11"/>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Attack on Titan featuring Yuki Kaji and Marina Inoue has one or more episodes streaming with subscription on Netflix, streaming with subscription on Hulu, streaming with subscription on Crunchyroll, and 10 others. It's an action &amp; adventure and animation show with 60 episodes over 3 seasons. Attack on Titan is still airing with no announced date for the next episode or season. It has a high IMDb audience rating of 8.8 (146,875 votes) and was very well received by critics."/>
    <s v="3Seasons"/>
    <x v="9"/>
  </r>
  <r>
    <x v="16"/>
    <n v="2011"/>
    <x v="0"/>
    <n v="8.8000000000000007"/>
    <n v="92"/>
    <x v="12"/>
    <s v="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Black Mirror has one or more episodes streaming with subscription on Netflix, and available for purchase on iTunes. It's a drama and fantasy show with 22 episodes over 5 seasons. Black Mirror is still airing with no announced date for the next episode or season. It has a high IMDb audience rating of 8.8 (417,642 votes) and was well received by critics."/>
    <s v="5Seasons"/>
    <x v="0"/>
  </r>
  <r>
    <x v="17"/>
    <n v="2001"/>
    <x v="0"/>
    <n v="9.4"/>
    <n v="92"/>
    <x v="1"/>
    <s v="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Band of Brothers featuring Damian Lewis and Donnie Wahlberg has one or more episodes streaming with subscription on HBO MAX, streaming on HBO, available for purchase on iTunes, and 5 others. It's an action &amp; adventure and drama show with 10 episodes over 1 season. Band of Brothers is no longer running and has no plans to air new episodes or seasons. It has a very high IMDb audience rating of 9.4 (362,057 votes) and was very well received by critics."/>
    <s v="1 Season"/>
    <x v="1"/>
  </r>
  <r>
    <x v="18"/>
    <n v="2004"/>
    <x v="1"/>
    <n v="8.6999999999999993"/>
    <n v="92"/>
    <x v="13"/>
    <s v="Dr. Gregory House, a drug-addicted, unconventional, misanthropic medical genius, leads a team of diagnosticians at the fictional Princeton–Plainsboro Teaching Hospital in New Jersey.House featuring Hugh Laurie and Omar Epps has one or more episodes streaming with subscription on Prime Video, streaming via tv everywhere with NBC (Via Cable/Satellite Provider), free on NBC, and 3 others. It's a comedy and drama show with 180 episodes over 8 seasons. House is no longer running and has no plans to air new episodes or seasons. It has a high IMDb audience rating of 8.7 (404,083 votes) and was very well received by critics."/>
    <s v="8Seasons"/>
    <x v="10"/>
  </r>
  <r>
    <x v="19"/>
    <n v="2016"/>
    <x v="1"/>
    <n v="8.1999999999999993"/>
    <n v="92"/>
    <x v="14"/>
    <s v="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Lucifer featuring Tom Ellis and Lauren German has one or more episodes streaming with subscription on Netflix, available for purchase on iTunes, available for purchase on Google Play, and 4 others. It's a comedy and crime show with 75 episodes over 5 seasons. Lucifer is still airing with no announced date for the next episode or season. It has a high IMDb audience rating of 8.2 (209,541 votes) and was well received by critics."/>
    <s v="5Seasons"/>
    <x v="0"/>
  </r>
  <r>
    <x v="20"/>
    <n v="2017"/>
    <x v="0"/>
    <n v="8.4"/>
    <n v="92"/>
    <x v="15"/>
    <s v="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Money Heist featuring Úrsula Corberó and Álvaro Morte has one or more episodes streaming with subscription on Netflix. It's an action &amp; adventure and crime show with 38 episodes over 2 seasons. Money Heist is still airing with no announced date for the next episode or season. It has a high IMDb audience rating of 8.4 (269,489 votes) and was very well received by critics."/>
    <s v="2Seasons"/>
    <x v="0"/>
  </r>
  <r>
    <x v="21"/>
    <n v="2015"/>
    <x v="0"/>
    <n v="8.5"/>
    <n v="92"/>
    <x v="16"/>
    <s v="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Mr. Robot featuring Rami Malek and Christian Slater has one or more episodes streaming with subscription on Prime Video, streaming via tv everywhere with USA (Via Cable/Satellite Provider), streaming with subscription on fuboTV, and 5 others. It's a crime and drama show with 45 episodes over 4 seasons. Mr. Robot is no longer running and has no plans to air new episodes or seasons. It has a high IMDb audience rating of 8.5 (321,181 votes) and was very well received by critics."/>
    <s v="4Seasons"/>
    <x v="11"/>
  </r>
  <r>
    <x v="22"/>
    <n v="2013"/>
    <x v="0"/>
    <n v="8.8000000000000007"/>
    <n v="92"/>
    <x v="0"/>
    <s v="A gangster family epic set in 1919 Birmingham, England and centered on a gang who sew razor blades in the peaks of their caps, and their fierce boss Tommy Shelby, who means to move up in the world.Peaky Blinders featuring Cillian Murphy and Paul Anderson has one or more episodes streaming with subscription on Netflix, available for purchase on iTunes, available for purchase on Google Play, and 3 others. It's a crime and drama show with 30 episodes over 5 seasons. Peaky Blinders is still airing with no announced date for the next episode or season. It has a high IMDb audience rating of 8.8 (308,525 votes) and was very well received by critics."/>
    <s v="5 Seasons"/>
    <x v="0"/>
  </r>
  <r>
    <x v="23"/>
    <n v="2018"/>
    <x v="1"/>
    <n v="8.8000000000000007"/>
    <n v="91"/>
    <x v="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Cobra Kai featuring Ralph Macchio and William Zabka has one or more episodes streaming with subscription on Netflix, streaming with subscription on YouTube Premium, free on YouTube Premium, and 5 others. It's an action &amp; adventure and comedy show with 20 episodes over 2 seasons. Cobra Kai is still airing with no announced date for the next episode or season. It has a high IMDb audience rating of 8.8 (57,711 votes) and was very well received by critics."/>
    <s v="2Seasons"/>
    <x v="12"/>
  </r>
  <r>
    <x v="24"/>
    <n v="1989"/>
    <x v="2"/>
    <n v="8.6999999999999993"/>
    <n v="91"/>
    <x v="2"/>
    <s v="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he Simpsons featuring Dan Castellaneta and Julie Kavner has one or more episodes streaming with subscription on Hulu, streaming via tv everywhere with FX (Via Cable/Satellite Provider), streaming with subscription on Disney+, and 7 others. It's an animation and comedy show with 684 episodes over 31 seasons. The Simpsons has a new episode airing on September 27th, 2020 (PDT). It has a high IMDb audience rating of 8.7 (356,453 votes) and was well received by critics."/>
    <s v="31 Seasons"/>
    <x v="13"/>
  </r>
  <r>
    <x v="25"/>
    <n v="2019"/>
    <x v="1"/>
    <n v="8.6999999999999993"/>
    <n v="91"/>
    <x v="17"/>
    <s v="After the fall of the Galactic Empire, lawlessness has spread throughout the galaxy. A lone gunfighter makes his way through the outer reaches, earning his keep as a bounty hunter.The Mandalorian featuring Pedro Pascal and Gina Carano has one or more episodes streaming with subscription on Disney+. It's an action &amp; adventure and fantasy show with 8 episodes over 1 season. The Mandalorian is still airing with no announced date for the next episode or season. It has a high IMDb audience rating of 8.7 (187,117 votes) and was very well received by critics."/>
    <s v="1Season"/>
    <x v="14"/>
  </r>
  <r>
    <x v="26"/>
    <n v="1999"/>
    <x v="0"/>
    <n v="9.1999999999999993"/>
    <n v="91"/>
    <x v="0"/>
    <s v="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he Sopranos featuring James Gandolfini and Edie Falco has one or more episodes streaming with subscription on HBO MAX, streaming on HBO, available for purchase on iTunes, and 4 others. It's a crime and drama show with 86 episodes over 6 seasons. The Sopranos is no longer running and has no plans to air new episodes or seasons. It has a very high IMDb audience rating of 9.2 (287,127 votes) and was very well received by critics."/>
    <s v="6Seasons"/>
    <x v="1"/>
  </r>
  <r>
    <x v="27"/>
    <n v="2019"/>
    <x v="0"/>
    <n v="8"/>
    <n v="91"/>
    <x v="4"/>
    <s v="A dysfunctional family of superheroes comes together to solve the mystery of their father's death, the threat of the apocalypse and more.The Umbrella Academy featuring Tom Hopper and David Castañeda has one or more episodes streaming with subscription on Netflix. It's an action &amp; adventure and comedy show with 20 episodes over 2 seasons. The Umbrella Academy is still airing with no announced date for the next episode or season. It has a high IMDb audience rating of 8.0 (132,132 votes) and was well received by critics."/>
    <s v="2Seasons"/>
    <x v="0"/>
  </r>
  <r>
    <x v="28"/>
    <n v="2013"/>
    <x v="0"/>
    <n v="8.5"/>
    <n v="91"/>
    <x v="1"/>
    <s v="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Vikings featuring Alexander Ludwig and Jordan Patrick Smith has one or more episodes streaming with subscription on Prime Video, streaming with subscription on Hulu, available for purchase on iTunes, and 5 others. It's an action &amp; adventure and drama show with 80 episodes over 6 seasons. Vikings is still airing with no announced date for the next episode or season. It has a high IMDb audience rating of 8.5 (402,321 votes) and was very well received by critics."/>
    <s v="6Seasons"/>
    <x v="15"/>
  </r>
  <r>
    <x v="29"/>
    <n v="2010"/>
    <x v="0"/>
    <n v="8.1999999999999993"/>
    <n v="91"/>
    <x v="18"/>
    <s v="Sheriff's deputy Rick Grimes awakens from a coma to find a post-apocalyptic world dominated by flesh-eating zombies. He sets out to find his family and encounters many other survivors along the way.The Walking Dead featuring Norman Reedus and Danai Gurira has one or more episodes streaming with subscription on Netflix, streaming via tv everywhere with AMC, streaming with subscription on fuboTV, and 6 others. It's an action &amp; adventure and drama show with 146 episodes over 10 seasons. The Walking Dead has a new episode airing on October 4th, 2020 (PDT). It has a high IMDb audience rating of 8.2 (833,324 votes) and was well received by critics."/>
    <s v="10Seasons"/>
    <x v="16"/>
  </r>
  <r>
    <x v="30"/>
    <n v="2004"/>
    <x v="1"/>
    <n v="8.3000000000000007"/>
    <n v="91"/>
    <x v="1"/>
    <s v="Stripped of everything, the survivors of a horrific plane crash must work together to stay alive. But the island holds many secrets.Lost featuring Naveen Andrews and Emilie de Ravin has one or more episodes streaming with subscription on Hulu, free on IMDb TV, available for purchase on Google Play, and 2 others. It's an action &amp; adventure and drama show with 124 episodes over 6 seasons. Lost is no longer running and has no plans to air new episodes or seasons. It has a high IMDb audience rating of 8.3 (483,722 votes) and was well received by critics."/>
    <s v="6 Seasons"/>
    <x v="17"/>
  </r>
  <r>
    <x v="31"/>
    <n v="2013"/>
    <x v="1"/>
    <n v="8.4"/>
    <n v="91"/>
    <x v="10"/>
    <s v="A single-camera ensemble comedy following the lives of an eclectic group of detectives in a New York precinct, including one slacker who is forced to shape up when he gets a new boss.Brooklyn Nine-Nine featuring Andy Samberg and Melissa Fumero has one or more episodes streaming with subscription on Hulu, streaming via tv everywhere with TBS, streaming via tv everywhere with NBC (Via Cable/Satellite Provider), and 7 others. It's an action &amp; adventure and comedy show with 143 episodes over 7 seasons. Brooklyn Nine-Nine is still airing with no announced date for the next episode or season. It has a high IMDb audience rating of 8.4 (206,113 votes) and was very well received by critics."/>
    <s v="7 Seasons"/>
    <x v="18"/>
  </r>
  <r>
    <x v="32"/>
    <n v="2019"/>
    <x v="1"/>
    <n v="8.3000000000000007"/>
    <n v="91"/>
    <x v="19"/>
    <s v="Inexperienced Otis channels his sex therapist mom when he teams up with rebellious Maeve to set up an underground sex therapy clinic at school.Sex Education featuring Asa Butterfield and Gillian Anderson has one or more episodes streaming with subscription on Netflix. It's a comedy and drama show with 16 episodes over 2 seasons. Sex Education is still airing with no announced date for the next episode or season. It has a high IMDb audience rating of 8.3 (142,383 votes) and was very well received by critics."/>
    <s v="2Seasons"/>
    <x v="0"/>
  </r>
  <r>
    <x v="33"/>
    <n v="2017"/>
    <x v="0"/>
    <n v="8.6"/>
    <n v="91"/>
    <x v="0"/>
    <s v="An agent in the FBI's Elite Serial Crime Unit develops profiling techniques as he pursues notorious serial killers and rapists.Mindhunter featuring Jonathan Groff and Holt McCallany has one or more episodes streaming with subscription on Netflix. It's a crime and drama show with 19 episodes over 2 seasons. Mindhunter is still airing with no announced date for the next episode or season. It has a high IMDb audience rating of 8.6 (199,286 votes) and was very well received by critics."/>
    <s v="2Seasons"/>
    <x v="0"/>
  </r>
  <r>
    <x v="34"/>
    <n v="2006"/>
    <x v="0"/>
    <n v="8.6"/>
    <n v="91"/>
    <x v="0"/>
    <s v="Dexter Morgan, a blood spatter pattern analyst for the Miami Metro Police also leads a secret life as a serial killer, hunting down criminals who have slipped through the cracks of justice.Dexter featuring Michael C. Hall and Jennifer Carpenter has one or more episodes streaming with subscription on Netflix, streaming on Showtime, free on Showtime FREEview, and 7 others. It's a crime and drama show with 96 episodes over 8 seasons. Dexter is no longer running and has no plans to air new episodes or seasons. It has a high IMDb audience rating of 8.6 (629,796 votes) and was well received by critics."/>
    <s v="8Seasons"/>
    <x v="19"/>
  </r>
  <r>
    <x v="35"/>
    <n v="2015"/>
    <x v="0"/>
    <n v="8.8000000000000007"/>
    <n v="91"/>
    <x v="0"/>
    <s v="A gritty chronicle of the war against Colombia's infamously violent and powerful drug cartels.Narcos featuring Pedro Pascal and Matias Varela has one or more episodes streaming with subscription on Netflix. It's an action &amp; adventure and biography show with 30 episodes over 3 seasons. Narcos is no longer running and has no plans to air new episodes or seasons. It has a high IMDb audience rating of 8.8 (340,614 votes) and was very well received by critics."/>
    <s v="3Seasons"/>
    <x v="0"/>
  </r>
  <r>
    <x v="36"/>
    <n v="2016"/>
    <x v="0"/>
    <n v="8.6999999999999993"/>
    <n v="91"/>
    <x v="12"/>
    <s v="A dark odyssey about the dawn of artificial consciousness and the evolution of sin. Set at the intersection of the near future and the reimagined past, it explores a world in which every human appetite, no matter how noble or depraved, can be indulged.Westworld featuring Evan Rachel Wood and Thandie Newton has one or more episodes streaming with subscription on HBO MAX, streaming on HBO, available for purchase on iTunes, and 4 others. It's an action &amp; adventure and drama show with 28 episodes over 3 seasons. Westworld is still airing with no announced date for the next episode or season. It has a high IMDb audience rating of 8.7 (411,111 votes) and was well received by critics."/>
    <s v="3Seasons"/>
    <x v="1"/>
  </r>
  <r>
    <x v="37"/>
    <n v="2014"/>
    <x v="0"/>
    <n v="9"/>
    <n v="91"/>
    <x v="0"/>
    <s v="An American anthology police detective series utilizing multiple timelines in which investigations seem to unearth personal and professional secrets of those involved, both within or outside the law.True Detective featuring Mahershala Ali and Stephen Dorff has one or more episodes streaming with subscription on HBO MAX, streaming on HBO, available for purchase on iTunes, and 5 others. It's a crime and drama show with 24 episodes over 3 seasons. True Detective is still airing with no announced date for the next episode or season. It has a high IMDb audience rating of 9.0 (484,267 votes) and was well received by critics."/>
    <s v="3Seasons"/>
    <x v="1"/>
  </r>
  <r>
    <x v="38"/>
    <n v="1997"/>
    <x v="0"/>
    <n v="8.6999999999999993"/>
    <n v="90"/>
    <x v="2"/>
    <s v="Follows the misadventures of four irreverent grade-schoolers in the quiet, dysfunctional town of South Park, Colorado.South Park featuring Trey Parker and Matt Stone has one or more episodes streaming with subscription on HBO MAX, streaming with subscription on Hulu, streaming via tv everywhere with Comedy Central (Via Cable/Satellite Provider), and 9 others. It's an animation and comedy show with 309 episodes over 23 seasons. South Park is still airing with no announced date for the next episode or season. It has a high IMDb audience rating of 8.7 (323,497 votes) and was well received by critics."/>
    <s v="23 Seasons"/>
    <x v="2"/>
  </r>
  <r>
    <x v="39"/>
    <n v="2009"/>
    <x v="1"/>
    <n v="8.6"/>
    <n v="90"/>
    <x v="20"/>
    <s v="Hilarious ensemble comedy that follows Leslie Knope, a mid-level bureaucrat in the Parks and Recreation Department of Pawnee, Indiana, and her tireless efforts to make her quintessentially American town just a little bit more fun.Parks and Recreation featuring Amy Poehler and Rashida Jones has one or more episodes streaming with subscription on Netflix, streaming with subscription on Prime Video, streaming with subscription on Hulu, and 10 others. It's a comedy show with 126 episodes over 7 seasons. Parks and Recreation is no longer running and has no plans to air new episodes or seasons. It has a high IMDb audience rating of 8.6 (203,434 votes) and was very well received by critics."/>
    <s v="7Seasons"/>
    <x v="20"/>
  </r>
  <r>
    <x v="40"/>
    <n v="2007"/>
    <x v="1"/>
    <n v="8.6"/>
    <n v="90"/>
    <x v="21"/>
    <s v="Mad Men is set in the 1960s, initially at the fictional Sterling Cooper advertising agency on Madison Avenue in New York City, and later at the newly created firm, Sterling Cooper Draper Pryce, located nearby in the Time-Life Building, at 1271 Avenue of the Americas. According to the show's pilot, the phrase &quot;mad men&quot; was a slang term coined in the 1950s by advertisers working on Madison Avenue to refer to themselves. The focal point of the series is Don Draper, creative director at Sterling Cooper and a founding partner at Sterling Cooper Draper Pryce, and the people in his life, both in and out of the office. The plot focuses on the business of the agencies as well as the personal lives of the characters, regularly depicting the changing moods and social mores of the United States in the 1960s.Mad Men featuring John Slattery and Jon Hamm has one or more episodes streaming with subscription on Netflix, free on IMDb TV, available for purchase on iTunes, and 3 others. It's a drama show with 94 episodes over 7 seasons. Mad Men is no longer running and has no plans to air new episodes or seasons. It has a high IMDb audience rating of 8.6 (200,295 votes) and was very well received by critics."/>
    <s v="7Seasons"/>
    <x v="21"/>
  </r>
  <r>
    <x v="41"/>
    <n v="2015"/>
    <x v="0"/>
    <n v="8.6"/>
    <n v="90"/>
    <x v="6"/>
    <s v="Lawyer-by-day Matt Murdock uses his heightened senses from being blinded as a young boy to fight crime at night on the streets of Hell’s Kitchen as Daredevil.Marvel's Daredevil featuring Charlie Cox and Deborah Ann Woll has one or more episodes streaming with subscription on Netflix, available for purchase on iTunes, available for purchase on Google Play, and 4 others. It's an action &amp; adventure and crime show with 39 episodes over 3 seasons. Marvel's Daredevil is no longer running and has no plans to air new episodes or seasons. It has a high IMDb audience rating of 8.6 (353,578 votes) and was very well received by critics."/>
    <s v="3Seasons"/>
    <x v="0"/>
  </r>
  <r>
    <x v="42"/>
    <n v="2002"/>
    <x v="1"/>
    <n v="9"/>
    <n v="90"/>
    <x v="12"/>
    <s v="In the year 2517, after the arrival of humans in a new star system, follow the adventures of the renegade crew of Serenity, a &quot;Firefly-class&quot; spaceship. The ensemble cast portrays the nine characters who live on Serenity.Firefly featuring Nathan Fillion and Gina Torres has one or more episodes streaming with subscription on Hulu, available for purchase on iTunes, available for purchase on Google Play, and 4 others. It's an action &amp; adventure and drama show with 14 episodes over 1 season. Firefly is no longer running and has no plans to air new episodes or seasons. It has a high IMDb audience rating of 9.0 (239,339 votes) and was well received by critics."/>
    <s v="1Season"/>
    <x v="4"/>
  </r>
  <r>
    <x v="43"/>
    <n v="2008"/>
    <x v="1"/>
    <n v="8.4"/>
    <n v="90"/>
    <x v="0"/>
    <s v="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Fringe featuring Anna Torv and Jasika Nicole has one or more episodes free on IMDb TV, available for purchase on iTunes, available for purchase on Google Play, and 4 others. It's a crime and drama show with 100 episodes over 5 seasons. Fringe is no longer running and has no plans to air new episodes or seasons. It has a high IMDb audience rating of 8.4 (215,897 votes) and was very well received by critics."/>
    <s v="5 Seasons"/>
    <x v="22"/>
  </r>
  <r>
    <x v="44"/>
    <n v="2011"/>
    <x v="0"/>
    <n v="8.6"/>
    <n v="90"/>
    <x v="22"/>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Shameless featuring William H. Macy and Jeremy Allen White has one or more episodes streaming with subscription on Netflix, streaming on Showtime, streaming with subscription on fuboTV, and 6 others. It's a comedy and drama show with 122 episodes over 10 seasons. Shameless is still airing with no announced date for the next episode or season. It has a high IMDb audience rating of 8.6 (193,759 votes) and was well received by critics."/>
    <s v="10 Seasons"/>
    <x v="23"/>
  </r>
  <r>
    <x v="45"/>
    <n v="2007"/>
    <x v="1"/>
    <n v="8.1"/>
    <n v="90"/>
    <x v="8"/>
    <s v="The Big Bang Theory is centered on five characters living in Pasadena, California: roommates Leonard Hofstadter and Sheldon Cooper; Penny, a waitress and aspiring actress who lives across the hall; and Leonard and Sheldon's equally geeky and socially awkward friends and co-workers, mechanical engineer Howard Wolowitz and astrophysicist Raj Koothrappali. The geekiness and intellect of the four guys is contrasted for comic effect with Penny's social skills and common sense.The Big Bang Theory featuring Jim Parsons and Johnny Galecki has one or more episodes streaming with subscription on HBO MAX, streaming with subscription on Hulu, streaming via tv everywhere with TBS, and 3 others. It's a comedy and romance show with 282 episodes over 12 seasons. The Big Bang Theory is no longer running and has no plans to air new episodes or seasons. It has a high IMDb audience rating of 8.1 (700,513 votes) and was well received by critics."/>
    <s v="12Seasons"/>
    <x v="6"/>
  </r>
  <r>
    <x v="46"/>
    <n v="2009"/>
    <x v="1"/>
    <n v="8.4"/>
    <n v="90"/>
    <x v="22"/>
    <s v="The Pritchett-Dunphy-Tucker clan is a wonderfully large and blended family. They give us an honest and often hilarious look into the sometimes warm, sometimes twisted, embrace of the modern family.Modern Family featuring Ed O'Neill and Sofía Vergara has one or more episodes streaming with subscription on Hulu, streaming via tv everywhere with ABC (Via Cable/Satellite Provider), free on ABC, and 5 others. It's a comedy and drama show with 255 episodes over 11 seasons. Modern Family is no longer running and has no plans to air new episodes or seasons. It has a high IMDb audience rating of 8.4 (339,700 votes) and was well received by critics."/>
    <s v="11 Seasons"/>
    <x v="24"/>
  </r>
  <r>
    <x v="47"/>
    <n v="2011"/>
    <x v="1"/>
    <n v="8.5"/>
    <n v="90"/>
    <x v="23"/>
    <s v="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Suits featuring Gabriel Macht and Rick Hoffman has one or more episodes streaming with subscription on Prime Video, free on Peacock, available for purchase on iTunes, and 4 others. It's a comedy and drama show with 134 episodes over 9 seasons. Suits is no longer running and has no plans to air new episodes or seasons. It has a high IMDb audience rating of 8.5 (353,576 votes) and was very well received by critics."/>
    <s v="9Seasons"/>
    <x v="25"/>
  </r>
  <r>
    <x v="48"/>
    <n v="2020"/>
    <x v="1"/>
    <n v="9.1999999999999993"/>
    <n v="90"/>
    <x v="24"/>
    <s v="A 10-part documentary chronicling the untold story of Michael Jordan and the Chicago Bulls dynasty with rare, never-before-seen footage and sound from the 1997-98 championship season – plus over 100 interviews with famous figures and basketball’s biggest names.The Last Dance featuring Michael Jordan and Scottie Pippen has one or more episodes streaming with subscription on Netflix. It's a biography and documentary show with 10 episodes over 1 season. The Last Dance is no longer running and has no plans to air new episodes or seasons. It has a very high IMDb audience rating of 9.2 (65,724 votes) and was very well received by critics."/>
    <s v="1Season"/>
    <x v="0"/>
  </r>
  <r>
    <x v="49"/>
    <n v="2009"/>
    <x v="2"/>
    <n v="8.5"/>
    <n v="90"/>
    <x v="20"/>
    <s v="Follow the lives of a group of students at what is possibly the world’s worst community college in the fictional locale of Greendale, Colorado.Community featuring Alison Brie and Joel McHale has one or more episodes streaming with subscription on Netflix, streaming with subscription on Hulu, free on Sony Crackle, and 5 others. It's a comedy show with 112 episodes over 6 seasons. Community is no longer running and has no plans to air new episodes or seasons. It has a high IMDb audience rating of 8.5 (205,783 votes) and was well received by critics."/>
    <s v="6Seasons"/>
    <x v="9"/>
  </r>
  <r>
    <x v="50"/>
    <n v="2005"/>
    <x v="0"/>
    <n v="8.8000000000000007"/>
    <n v="90"/>
    <x v="9"/>
    <s v="Four egocentric friends who run a neighborhood Irish pub in Philadelphia try to find their way through the adult world of work and relationships. Unfortunately, their warped views and precarious judgments often lead them to trouble, creating a myriad of uncomfortable situations that usually only get worse before they get better.It's Always Sunny in Philadelphia featuring Charlie Day and Glenn Howerton has one or more episodes streaming with subscription on Hulu, streaming via tv everywhere with FX (Via Cable/Satellite Provider), streaming via tv everywhere with VICELAND (Via Cable/Satellite Provider), and 5 others. It's a comedy show with 154 episodes over 14 seasons. It's Always Sunny in Philadelphia is still airing with no announced date for the next episode or season. It has a high IMDb audience rating of 8.8 (185,015 votes) and was very well received by critics."/>
    <s v="14Seasons"/>
    <x v="26"/>
  </r>
  <r>
    <x v="51"/>
    <n v="1990"/>
    <x v="0"/>
    <n v="8.8000000000000007"/>
    <n v="90"/>
    <x v="18"/>
    <s v="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win Peaks featuring Kyle MacLachlan and Alicia Witt has one or more episodes streaming with subscription on Netflix, streaming with subscription on Showtime (Via Prime Video), streaming with subscription on Hulu, and 6 others. It's a crime and drama show with 48 episodes over 3 seasons. Twin Peaks is no longer running and has no plans to air new episodes or seasons. It has a high IMDb audience rating of 8.8 (169,399 votes) and was well received by critics."/>
    <s v="3 Seasons"/>
    <x v="27"/>
  </r>
  <r>
    <x v="52"/>
    <n v="2013"/>
    <x v="0"/>
    <n v="8.5"/>
    <n v="90"/>
    <x v="0"/>
    <s v="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Hannibal featuring Hugh Dancy and Mads Mikkelsen has one or more episodes streaming with subscription on Netflix, and available for purchase on VUDU. It's a crime and drama show with 39 episodes over 3 seasons. Hannibal is no longer running and has no plans to air new episodes or seasons. It has a high IMDb audience rating of 8.5 (220,975 votes) and was very well received by critics."/>
    <s v="3Seasons"/>
    <x v="0"/>
  </r>
  <r>
    <x v="53"/>
    <n v="2017"/>
    <x v="0"/>
    <n v="8.4"/>
    <n v="90"/>
    <x v="0"/>
    <s v="A financial adviser drags his family from Chicago to the Missouri Ozarks, where he must launder $500 million in five years to appease a drug boss.Ozark featuring Jason Bateman and Laura Linney has one or more episodes streaming with subscription on Netflix. It's a crime and drama show with 30 episodes over 3 seasons. Ozark is still airing with no announced date for the next episode or season. It has a high IMDb audience rating of 8.4 (170,038 votes) and was well received by critics."/>
    <s v="3Seasons"/>
    <x v="0"/>
  </r>
  <r>
    <x v="54"/>
    <n v="1989"/>
    <x v="2"/>
    <n v="8.8000000000000007"/>
    <n v="90"/>
    <x v="25"/>
    <s v="A stand-up comedian and his three offbeat friends weather the pitfalls and payoffs of life in New York City in the '90s. It's a show about nothing.Seinfeld featuring Jerry Seinfeld and Jason Alexander has one or more episodes streaming with subscription on Hulu, streaming via tv everywhere with TBS, streaming with subscription on fuboTV, and 3 others. It's a Comedy and Stand up &amp; Talk show with 190 episodes over 9 seasons. Seinfeld is no longer running and has no plans to air new episodes or seasons. It has a high IMDb audience rating of 8.8 (246,958 votes) and was well received by critics."/>
    <s v="9Seasons"/>
    <x v="28"/>
  </r>
  <r>
    <x v="55"/>
    <n v="2018"/>
    <x v="0"/>
    <n v="8.6999999999999993"/>
    <n v="89"/>
    <x v="26"/>
    <s v="The Crains, a fractured family, confront haunting memories of their old home and the terrifying events that drove them from it.The Haunting featuring Michiel Huisman and Elizabeth Reaser has one or more episodes streaming with subscription on Netflix, available for purchase on Google Play, available for purchase on Prime Video, and 2 others. It's a drama and horror show with 10 episodes over 1 season. The Haunting is still airing with no announced date for the next episode or season. It has a high IMDb audience rating of 8.7 (154,025 votes) and was very well received by critics."/>
    <s v="1Season"/>
    <x v="0"/>
  </r>
  <r>
    <x v="56"/>
    <n v="2009"/>
    <x v="0"/>
    <n v="9.1"/>
    <n v="89"/>
    <x v="11"/>
    <s v="Edward and Alphonse Elric's reckless disregard for alchemy's fun­damental laws ripped half of Ed's limbs from his body and left Al's soul clinging to a cold suit of armor. To restore what was lost, the brothers scour a war-torn land for the Philosopher's Sto­ne, a fabled relic which grants the ability to perform alchemy in impossible ways. The Elrics are not alone in their search; the corrupt State Military is also eager to harness the artifact's power. So too are the strange Homunculi and their shadowy creator. The mythical gem lures exotic alchemists from distant kingdoms, scarring some deeply enough to inspire murder. As the Elrics find their course altered by these enemies and allies, their purpose remains unchanged – and their bond unbreakable.Fullmetal Alchemist: Brotherhood featuring Romi Park and Rie Kugimiya has one or more episodes streaming with subscription on Netflix, streaming with subscription on HBO MAX, streaming with subscription on Hulu, and 2 others. It's an action &amp; adventure and animation show with 64 episodes over 1 season. Fullmetal Alchemist: Brotherhood is no longer running and has no plans to air new episodes or seasons. It has a very high IMDb audience rating of 9.1 (109,584 votes) and was very well received by critics."/>
    <s v="1Season"/>
    <x v="29"/>
  </r>
  <r>
    <x v="57"/>
    <n v="2019"/>
    <x v="0"/>
    <n v="8.1999999999999993"/>
    <n v="89"/>
    <x v="27"/>
    <s v="Geralt of Rivia, a mutated monster-hunter for hire, journeys toward his destiny in a turbulent world where people often prove more wicked than beasts.The Witcher featuring Henry Cavill and Freya Allan has one or more episodes streaming with subscription on Netflix. It's an action &amp; adventure and drama show with 8 episodes over 1 season. The Witcher is still airing with no announced date for the next episode or season. It has a high IMDb audience rating of 8.2 (268,685 votes) and was well received by critics."/>
    <s v="1Season"/>
    <x v="0"/>
  </r>
  <r>
    <x v="58"/>
    <n v="2013"/>
    <x v="0"/>
    <n v="8.1999999999999993"/>
    <n v="89"/>
    <x v="16"/>
    <s v="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he Fall featuring Gillian Anderson and Jamie Dornan has one or more episodes streaming with subscription on Prime Video, free on Plex, free on Tubi, and 9 others. It's a crime and drama show with 29 episodes over 3 seasons. The Fall is no longer running and has no plans to air new episodes or seasons. It has a high IMDb audience rating of 8.2 (76,626 votes) and was well received by critics."/>
    <s v="3Seasons"/>
    <x v="30"/>
  </r>
  <r>
    <x v="59"/>
    <n v="2011"/>
    <x v="0"/>
    <n v="8.3000000000000007"/>
    <n v="89"/>
    <x v="0"/>
    <s v="CIA officer Carrie Mathison is tops in her field despite being bipolar, which makes her volatile and unpredictable. With the help of her long-time mentor Saul Berenson, Carrie fearlessly risks everything, including her personal well-being and even sanity, at every turn.Homeland featuring Claire Danes and Mandy Patinkin has one or more episodes streaming on Showtime, free on Showtime FREEview, streaming with subscription on fuboTV, and 3 others. It's an action &amp; adventure and crime show with 98 episodes over 8 seasons. Homeland is no longer running and has no plans to air new episodes or seasons. It has a high IMDb audience rating of 8.3 (305,050 votes) and was well received by critics."/>
    <s v="8Seasons"/>
    <x v="31"/>
  </r>
  <r>
    <x v="60"/>
    <n v="2014"/>
    <x v="1"/>
    <n v="7.7"/>
    <n v="89"/>
    <x v="12"/>
    <s v="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he 100 featuring Eliza Taylor and Marie Avgeropoulos has one or more episodes streaming with subscription on Netflix, free on The CW, streaming with subscription on fuboTV, and 5 others. It's an action &amp; adventure and drama show with 98 episodes over 7 seasons. The 100 has a new episode airing on September 16th, 2020 (PDT). It has a high IMDb audience rating of 7.7 (202,481 votes) and was very well received by critics."/>
    <s v="7 Seasons"/>
    <x v="32"/>
  </r>
  <r>
    <x v="61"/>
    <n v="2005"/>
    <x v="1"/>
    <n v="8.3000000000000007"/>
    <n v="89"/>
    <x v="8"/>
    <s v="A father recounts to his children - through a series of flashbacks - the journey he and his four best friends took leading up to him meeting their mother.How I Met Your Mother featuring Cristin Milioti and Neil Patrick Harris has one or more episodes streaming with subscription on Hulu, available for purchase on iTunes, available for purchase on Google Play, and 4 others. It's a comedy and romance show with 209 episodes over 9 seasons. How I Met Your Mother is no longer running and has no plans to air new episodes or seasons. It has a high IMDb audience rating of 8.3 (584,275 votes) and was well received by critics."/>
    <s v="9Seasons"/>
    <x v="4"/>
  </r>
  <r>
    <x v="62"/>
    <n v="2016"/>
    <x v="1"/>
    <n v="8.1999999999999993"/>
    <n v="89"/>
    <x v="22"/>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he Good Place featuring Kristen Bell and Ted Danson has one or more episodes streaming with subscription on Netflix, streaming with subscription on Hulu, streaming via tv everywhere with NBC (Via Cable/Satellite Provider), and 7 others. It's a comedy and drama show with 53 episodes over 4 seasons. The Good Place is no longer running and has no plans to air new episodes or seasons. It has a high IMDb audience rating of 8.2 (101,695 votes) and was very well received by critics."/>
    <s v="4Seasons"/>
    <x v="9"/>
  </r>
  <r>
    <x v="63"/>
    <n v="2015"/>
    <x v="1"/>
    <n v="8.5"/>
    <n v="89"/>
    <x v="27"/>
    <s v="A thriller set two hundred years in the future following the case of a missing young woman who brings a hardened detective and a rogue ship's captain together in a race across the solar system to expose the greatest conspiracy in human history.The Expanse featuring Steven Strait and Cas Anvar has one or more episodes streaming with subscription on Prime Video, available for purchase on iTunes, available for purchase on Google Play, and 3 others. It's an action &amp; adventure and drama show with 46 episodes over 4 seasons. The Expanse is still airing with no announced date for the next episode or season. It has a high IMDb audience rating of 8.5 (95,168 votes) and was very well received by critics."/>
    <s v="4 Seasons"/>
    <x v="3"/>
  </r>
  <r>
    <x v="64"/>
    <n v="2005"/>
    <x v="1"/>
    <n v="7.6"/>
    <n v="89"/>
    <x v="28"/>
    <s v="Follows the personal and professional lives of a group of doctors at Seattle’s Grey Sloan Memorial Hospital.Grey's Anatomy featuring Ellen Pompeo and Justin Chambers has one or more episodes streaming with subscription on Netflix, streaming with subscription on Hulu, free on ABC, and 4 others. It's a drama and romance show with 365 episodes over 16 seasons. Grey's Anatomy is still airing with no announced date for the next episode or season. It has a high IMDb audience rating of 7.6 (238,957 votes) and was well received by critics."/>
    <s v="16 Seasons"/>
    <x v="9"/>
  </r>
  <r>
    <x v="65"/>
    <n v="2016"/>
    <x v="1"/>
    <n v="8.5"/>
    <n v="89"/>
    <x v="11"/>
    <s v="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My Hero Academia featuring Daiki Yamashita and Nobuhiko Okamoto has one or more episodes streaming with subscription on Hulu, streaming with subscription on Crunchyroll, streaming via tv everywhere with Adult Swim (Via Cable/Satellite Provider), and 8 others. It's an action &amp; adventure and animation show with 93 episodes over 4 seasons. My Hero Academia is still airing with no announced date for the next episode or season. It has a high IMDb audience rating of 8.5 (28,993 votes) and was very well received by critics."/>
    <s v="4Seasons"/>
    <x v="33"/>
  </r>
  <r>
    <x v="66"/>
    <n v="2013"/>
    <x v="0"/>
    <n v="8.6999999999999993"/>
    <n v="89"/>
    <x v="29"/>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House of Cards featuring Robin Wright and Michael Kelly has one or more episodes streaming with subscription on Netflix, available for purchase on iTunes, available for purchase on Google Play, and 4 others. It's a crime and drama show with 73 episodes over 6 seasons. House of Cards is no longer running and has no plans to air new episodes or seasons. It has a high IMDb audience rating of 8.7 (456,433 votes) and was well received by critics."/>
    <s v="6Seasons"/>
    <x v="0"/>
  </r>
  <r>
    <x v="67"/>
    <n v="2017"/>
    <x v="0"/>
    <n v="8.5"/>
    <n v="88"/>
    <x v="12"/>
    <s v="Set in a dystopian future, a woman is forced to live as a concubine under a theonomic dictatorship. A TV adaptation of Margaret Atwood's novel.The Handmaid's Tale featuring Elisabeth Moss and Yvonne Strahovski has one or more episodes streaming with subscription on Hulu, available for purchase on iTunes, available for purchase on Google Play, and 4 others. It's a drama and fantasy show with 37 episodes over 3 seasons. The Handmaid's Tale is still airing with no announced date for the next episode or season. It has a high IMDb audience rating of 8.5 (160,327 votes) and was well received by critics."/>
    <s v="3Seasons"/>
    <x v="4"/>
  </r>
  <r>
    <x v="68"/>
    <n v="2013"/>
    <x v="1"/>
    <n v="7.5"/>
    <n v="88"/>
    <x v="1"/>
    <s v="Agent Phil Coulson of S.H.I.E.L.D. (Strategic Homeland Intervention, Enforcement and Logistics Division) puts together a team of agents to investigate the new, the strange and the unknown around the globe, protecting the ordinary from the extraordinary.Marvel's Agents of S.H.I.E.L.D. featuring Clark Gregg and Ming-Na Wen has one or more episodes streaming with subscription on Netflix, streaming with subscription on Hulu, free on ABC, and 5 others. It's an action &amp; adventure and drama show with 136 episodes over 7 seasons. Marvel's Agents of S.H.I.E.L.D. is no longer running and has no plans to air new episodes or seasons. It has a better than average IMDb audience rating of 7.5 (195,013 votes) and was very well received by critics."/>
    <s v="7Seasons"/>
    <x v="9"/>
  </r>
  <r>
    <x v="69"/>
    <n v="2016"/>
    <x v="0"/>
    <n v="8.6999999999999993"/>
    <n v="88"/>
    <x v="22"/>
    <s v="Fleabag is thrown roughly up against the walls of contemporary London, sleeping with anyone who dares to stand too close, squeezing money from wherever she  can, rejecting anyone who tries to help her, and keeping up her bravado throughout.Fleabag featuring Phoebe Waller-Bridge and Sian Clifford has one or more episodes streaming with subscription on Prime Video, and available for purchase on iTunes. It's a comedy and drama show with 12 episodes over 2 seasons. Fleabag is no longer running and has no plans to air new episodes or seasons. It has a high IMDb audience rating of 8.7 (84,330 votes) and was very well received by critics."/>
    <s v="2Seasons"/>
    <x v="3"/>
  </r>
  <r>
    <x v="70"/>
    <n v="2016"/>
    <x v="0"/>
    <n v="8.6999999999999993"/>
    <n v="88"/>
    <x v="5"/>
    <s v="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he Crown featuring Olivia Colman and Tobias Menzies has one or more episodes streaming with subscription on Netflix. It's a drama and history show with 30 episodes over 3 seasons. The Crown is still airing with no announced date for the next episode or season. It has a high IMDb audience rating of 8.7 (117,635 votes) and was very well received by critics."/>
    <s v="3Seasons"/>
    <x v="0"/>
  </r>
  <r>
    <x v="71"/>
    <n v="2014"/>
    <x v="0"/>
    <n v="8.4"/>
    <n v="88"/>
    <x v="3"/>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Outlander featuring Caitriona Balfe and Sam Heughan has one or more episodes streaming with subscription on Netflix, streaming on Starz, available for purchase on iTunes, and 3 others. It's an action &amp; adventure and animation show with 69 episodes over 5 seasons. Outlander is still airing with no announced date for the next episode or season. It has a high IMDb audience rating of 8.4 (116,066 votes) and was very well received by critics."/>
    <s v="5Seasons"/>
    <x v="34"/>
  </r>
  <r>
    <x v="72"/>
    <n v="2019"/>
    <x v="0"/>
    <n v="8.9"/>
    <n v="88"/>
    <x v="30"/>
    <s v="Five teens from Harlem become trapped in a nightmare when they're falsely accused of a brutal attack in Central Park.When They See Us featuring Jharrel Jerome and Ethan Herisse has one or more episodes streaming with subscription on Netflix, and free on PBS. It's a biography and crime show with 4 episodes over 1 season. When They See Us is no longer running and has no plans to air new episodes or seasons. It has a high IMDb audience rating of 8.9 (82,251 votes) and was very well received by critics."/>
    <s v="1Season"/>
    <x v="21"/>
  </r>
  <r>
    <x v="73"/>
    <n v="1999"/>
    <x v="1"/>
    <n v="8.4"/>
    <n v="88"/>
    <x v="31"/>
    <s v="The adventures of a late-20th-century New York City pizza delivery boy, Philip J. Fry, who, after being unwittingly cryogenically frozen for one thousand years, finds employment at Planet Express, an interplanetary delivery company in the retro-futuristic 31st century.Futurama featuring Billy West and John DiMaggio has one or more episodes streaming with subscription on Hulu, streaming via tv everywhere with Syfy, streaming via tv everywhere with Comedy Central (Via Cable/Satellite Provider), and 6 others. It's an animation and comedy show with 142 episodes over 8 seasons. Futurama is no longer running and has no plans to air new episodes or seasons. It has a high IMDb audience rating of 8.4 (209,235 votes) and was very well received by critics."/>
    <s v="8Seasons"/>
    <x v="35"/>
  </r>
  <r>
    <x v="74"/>
    <n v="2008"/>
    <x v="0"/>
    <n v="8.6"/>
    <n v="88"/>
    <x v="0"/>
    <s v="An adrenalized drama with darkly comedic undertones that explores a notorious outlaw motorcycle club’s (MC) desire to protect its livelihood while ensuring that their simple, sheltered town of Charming, California remains exactly that, charming. The MC must confront threats from drug dealers, corporate developers, and overzealous law officers. Behind the MC’s familial lifestyle and legally thriving automotive shop is a ruthless and illegal arms business driven by the seduction of money, power, and blood.Sons of Anarchy featuring Charlie Hunnam and Katey Sagal has one or more episodes streaming with subscription on Hulu, streaming via tv everywhere with NBC Universo, available for purchase on iTunes, and 4 others. It's a crime and drama show with 93 episodes over 7 seasons. Sons of Anarchy is no longer running and has no plans to air new episodes or seasons. It has a high IMDb audience rating of 8.6 (250,199 votes) and was well received by critics."/>
    <s v="7Seasons"/>
    <x v="4"/>
  </r>
  <r>
    <x v="75"/>
    <n v="2009"/>
    <x v="1"/>
    <n v="7.7"/>
    <n v="88"/>
    <x v="3"/>
    <s v="The story of two vampire brothers obsessed with the same girl, who bears a striking resemblance to the beautiful but ruthless vampire they knew and loved in 1864.The Vampire Diaries featuring Paul Wesley and Ian Somerhalder has one or more episodes streaming with subscription on Netflix, free on Guidebox, available for purchase on iTunes, and 5 others. It's a drama and fantasy show with 175 episodes over 9 seasons. The Vampire Diaries is no longer running and has no plans to air new episodes or seasons. It has a high IMDb audience rating of 7.7 (274,918 votes) and was well received by critics."/>
    <s v="9Seasons"/>
    <x v="21"/>
  </r>
  <r>
    <x v="76"/>
    <n v="2005"/>
    <x v="1"/>
    <n v="8.3000000000000007"/>
    <n v="88"/>
    <x v="27"/>
    <s v="Due to a political conspiracy, an innocent man is sent to death row and his only hope is his brother, who makes it his mission to deliberately get himself sent to the same prison in order to break the both of them out, from the inside out.Prison Break featuring Wentworth Miller and Dominic Purcell has one or more episodes streaming with subscription on Hulu, available for purchase on iTunes, available for purchase on Google Play, and 5 others. It's an action &amp; adventure and crime show with 89 episodes over 5 seasons. Prison Break is no longer running and has no plans to air new episodes or seasons. It has a high IMDb audience rating of 8.3 (462,661 votes) and was met with mixed reviews by critics."/>
    <s v="5Seasons"/>
    <x v="4"/>
  </r>
  <r>
    <x v="77"/>
    <n v="2012"/>
    <x v="2"/>
    <n v="8.4"/>
    <n v="88"/>
    <x v="7"/>
    <s v="Avatar Korra, a headstrong, rebellious, feisty young woman who continually challenges and breaks with tradition, is on her quest to become a fully realized Avatar. In this story, the Avatar struggles to find balance within herself.The Legend of Korra featuring Janet Varney and David Faustino has one or more episodes streaming with subscription on Netflix, streaming on CBS All Access, free on ABC News, and 7 others. It's an action &amp; adventure and animation show with 53 episodes over 4 seasons. The Legend of Korra is no longer running and has no plans to air new episodes or seasons. It has a high IMDb audience rating of 8.4 (97,021 votes) and was very well received by critics."/>
    <s v="4Seasons"/>
    <x v="36"/>
  </r>
  <r>
    <x v="78"/>
    <n v="2009"/>
    <x v="0"/>
    <n v="8.6"/>
    <n v="88"/>
    <x v="4"/>
    <s v="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Archer featuring H. Jon Benjamin and Aisha Tyler has one or more episodes streaming with subscription on Hulu, streaming via tv everywhere with FX (Via Cable/Satellite Provider), streaming with subscription on fuboTV, and 7 others. It's an action &amp; adventure and animation show with 116 episodes over 11 seasons. Archer has a new episode airing on September 16th, 2020 (PDT). It has a high IMDb audience rating of 8.6 (133,667 votes) and was very well received by critics."/>
    <s v="11Seasons"/>
    <x v="37"/>
  </r>
  <r>
    <x v="79"/>
    <n v="2012"/>
    <x v="2"/>
    <n v="8.9"/>
    <n v="88"/>
    <x v="2"/>
    <s v="Twin brother and sister Dipper and Mabel Pines are in for an unexpected adventure when they spend the summer helping their great uncle Stan run a tourist trap in the mysterious town of Gravity Falls, Oregon.Gravity Falls featuring Kristen Schaal and Jessica DiCicco has one or more episodes streaming with subscription on Hulu, streaming with subscription on Disney+, available for purchase on iTunes, and 5 others. It's an action &amp; adventure and animation show with 41 episodes over 2 seasons. Gravity Falls is no longer running and has no plans to air new episodes or seasons. It has a high IMDb audience rating of 8.9 (67,723 votes) and was very well received by critics."/>
    <s v="2Seasons"/>
    <x v="38"/>
  </r>
  <r>
    <x v="80"/>
    <n v="2003"/>
    <x v="1"/>
    <n v="8.6999999999999993"/>
    <n v="88"/>
    <x v="32"/>
    <s v="The story of a wealthy family that lost everything, and the one son who had no choice but to keep them all together.Arrested Development featuring Jason Bateman and Portia de Rossi has one or more episodes streaming with subscription on Netflix, streaming with subscription on Hulu, available for purchase on iTunes, and 4 others. It's a comedy show with 91 episodes over 5 seasons. Arrested Development is still airing with no announced date for the next episode or season. It has a high IMDb audience rating of 8.7 (271,138 votes) and was well received by critics."/>
    <s v="5Seasons"/>
    <x v="39"/>
  </r>
  <r>
    <x v="81"/>
    <n v="2013"/>
    <x v="1"/>
    <n v="8"/>
    <n v="88"/>
    <x v="33"/>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The Blacklist featuring James Spader and Megan Boone has one or more episodes streaming with subscription on Netflix, free on NBC, streaming with subscription on fuboTV, and 6 others. It's an action &amp; adventure and crime show with 153 episodes over 7 seasons. The Blacklist is still airing with no announced date for the next episode or season. It has a high IMDb audience rating of 8.0 (185,473 votes) and was very well received by critics."/>
    <s v="7Seasons"/>
    <x v="32"/>
  </r>
  <r>
    <x v="82"/>
    <n v="2018"/>
    <x v="1"/>
    <n v="8.3000000000000007"/>
    <n v="88"/>
    <x v="34"/>
    <s v="A security consultant hunts for a ruthless assassin. Equally obsessed with each other, they go head to head in an epic game of cat-and-mouse.Killing Eve featuring Sandra Oh and Jodie Comer has one or more episodes streaming with subscription on Hulu, streaming via tv everywhere with BBC America (Via Cable/Satellite Provider), available for purchase on iTunes, and 5 others. It's an action &amp; adventure and crime show with 24 episodes over 3 seasons. Killing Eve is still airing with no announced date for the next episode or season. It has a high IMDb audience rating of 8.3 (79,052 votes) and was very well received by critics."/>
    <s v="3Seasons"/>
    <x v="40"/>
  </r>
  <r>
    <x v="83"/>
    <n v="2014"/>
    <x v="0"/>
    <n v="8.9"/>
    <n v="87"/>
    <x v="35"/>
    <s v="A half-hour satirical look at the week in news, politics and current events.Last Week Tonight with John Oliver featuring John Oliver and David Kaye has one or more episodes streaming with subscription on HBO MAX, streaming on HBO, available for purchase on Google Play, and 3 others. It's a comedy show with 206 episodes over 7 seasons. Last Week Tonight with John Oliver has a new episode airing on September 27th, 2020 (PDT). It has a high IMDb audience rating of 8.9 (76,412 votes) and was very well received by critics."/>
    <s v="7 Seasons"/>
    <x v="1"/>
  </r>
  <r>
    <x v="84"/>
    <n v="2018"/>
    <x v="0"/>
    <n v="8.6999999999999993"/>
    <n v="87"/>
    <x v="27"/>
    <s v="A link in their pasts leads an honest cop to a fugitive gang boss, whose cryptic warning spurs the officer on a quest to save Mumbai from cataclysm.Sacred Games featuring Pankaj Tripathi and Saif Ali Khan has one or more episodes streaming with subscription on Netflix. It's an action &amp; adventure and crime show with 16 episodes over 2 seasons. Sacred Games is still airing with no announced date for the next episode or season. It has a high IMDb audience rating of 8.7 (69,901 votes) and was very well received by critics."/>
    <s v="2 Seasons"/>
    <x v="0"/>
  </r>
  <r>
    <x v="85"/>
    <n v="2013"/>
    <x v="0"/>
    <n v="8.1"/>
    <n v="87"/>
    <x v="19"/>
    <s v="A crime she committed in her youthful past sends Piper Chapman to a women's prison, where she trades her comfortable New York life for one of unexpected camaraderie and conflict in an eccentric group of fellow inmates.Orange Is the New Black featuring Taylor Schilling and Laura Prepon has one or more episodes streaming with subscription on Netflix, available for purchase on iTunes, available for purchase on Google Play, and 4 others. It's a comedy and crime show with 92 episodes over 7 seasons. Orange Is the New Black is no longer running and has no plans to air new episodes or seasons. It has a high IMDb audience rating of 8.1 (274,327 votes) and was very well received by critics."/>
    <s v="7 Seasons"/>
    <x v="0"/>
  </r>
  <r>
    <x v="86"/>
    <n v="2018"/>
    <x v="0"/>
    <n v="8.5"/>
    <n v="87"/>
    <x v="36"/>
    <s v="Follow the violent world of the Dutton family, who controls the largest contiguous ranch in the United States. Led by their patriarch John Dutton, the family defends their property against constant attack by land developers, an Indian reservation, and America’s first National Park.Yellowstone featuring Kevin Costner and Kelly Reilly has one or more episodes streaming with subscription on fuboTV, free on Peacock, streaming with subscription on Peacock Premium, and 6 others. It's a drama show with 29 episodes over 3 seasons. Yellowstone is still airing with no announced date for the next episode or season. It has a high IMDb audience rating of 8.5 (21,639 votes) and was well received by critics."/>
    <s v="3Seasons"/>
    <x v="41"/>
  </r>
  <r>
    <x v="87"/>
    <n v="2014"/>
    <x v="0"/>
    <n v="8.5"/>
    <n v="87"/>
    <x v="22"/>
    <s v="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Silicon Valley featuring Thomas Middleditch and Zach Woods has one or more episodes streaming with subscription on HBO MAX, streaming on HBO, available for purchase on iTunes, and 4 others. It's a comedy and drama show with 53 episodes over 6 seasons. Silicon Valley is no longer running and has no plans to air new episodes or seasons. It has a high IMDb audience rating of 8.5 (122,100 votes) and was very well received by critics."/>
    <s v="6Seasons"/>
    <x v="1"/>
  </r>
  <r>
    <x v="88"/>
    <n v="2019"/>
    <x v="0"/>
    <n v="8.4"/>
    <n v="87"/>
    <x v="37"/>
    <s v="A group of high school students navigate love and friendships in a world of drugs, sex, trauma, and social media.Euphoria featuring Zendaya and Hunter Schafer has one or more episodes streaming with subscription on HBO MAX, streaming on HBO, available for purchase on Google Play, and 2 others. It's a drama and LGBTQ show with 8 episodes over 1 season. Euphoria is still airing with no announced date for the next episode or season. It has a high IMDb audience rating of 8.4 (47,556 votes) and was well received by critics."/>
    <s v="1 Season"/>
    <x v="1"/>
  </r>
  <r>
    <x v="89"/>
    <n v="1993"/>
    <x v="1"/>
    <n v="8.6"/>
    <n v="87"/>
    <x v="12"/>
    <s v="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he X-Files featuring Gillian Anderson and David Duchovny has one or more episodes streaming with subscription on Hulu, streaming via tv everywhere with BBC America (Via Cable/Satellite Provider), free on FOX, and 7 others. It's a drama and fantasy show with 219 episodes over 11 seasons. The X-Files is no longer running and has no plans to air new episodes or seasons. It has a high IMDb audience rating of 8.6 (194,182 votes) and was well received by critics."/>
    <s v="11Seasons"/>
    <x v="42"/>
  </r>
  <r>
    <x v="90"/>
    <n v="2014"/>
    <x v="2"/>
    <n v="7.7"/>
    <n v="87"/>
    <x v="27"/>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he Flash featuring Grant Gustin and Candice Patton has one or more episodes streaming with subscription on Netflix, free on The CW, available for purchase on iTunes, and 4 others. It's an action &amp; adventure and crime show with 135 episodes over 6 seasons. The Flash is still airing with no announced date for the next episode or season. It has a high IMDb audience rating of 7.7 (299,826 votes) and was well received by critics."/>
    <s v="6Seasons"/>
    <x v="21"/>
  </r>
  <r>
    <x v="91"/>
    <n v="2010"/>
    <x v="0"/>
    <n v="8.6"/>
    <n v="87"/>
    <x v="6"/>
    <s v="A character drama based on the 2001 Elmore Leonard short story &quot;Fire in the Hole.&quot; Leonard's tale centers around U.S. Marshal Raylan Givens of Kentucky, a quiet but strong-willed official of the law. The tale covers his high-stakes job, as well as his strained relationships with his ex-wife and father.Justified featuring Timothy Olyphant and Walton Goggins has one or more episodes streaming with subscription on Hulu, available for purchase on iTunes, available for purchase on Google Play, and 2 others. It's an action &amp; adventure and comedy show with 78 episodes over 6 seasons. Justified is no longer running and has no plans to air new episodes or seasons. It has a high IMDb audience rating of 8.6 (83,711 votes) and was very well received by critics."/>
    <s v="6 Seasons"/>
    <x v="4"/>
  </r>
  <r>
    <x v="92"/>
    <n v="2013"/>
    <x v="0"/>
    <n v="8.4"/>
    <n v="87"/>
    <x v="38"/>
    <s v="Set during the Cold War period in the 1980s, The Americans is the story of Elizabeth and Philip Jennings, two Soviet KGB officers posing as an American married couple in the suburbs of Washington D.C. and their neighbor, Stan Beeman, an FBI Counterintelligence agent.The Americans featuring Keri Russell and Matthew Rhys has one or more episodes streaming with subscription on Prime Video, available for purchase on iTunes, available for purchase on Google Play, and 4 others. It's an action &amp; adventure and crime show with 75 episodes over 6 seasons. The Americans is no longer running and has no plans to air new episodes or seasons. It has a high IMDb audience rating of 8.4 (80,394 votes) and was very well received by critics."/>
    <s v="6Seasons"/>
    <x v="3"/>
  </r>
  <r>
    <x v="93"/>
    <n v="2016"/>
    <x v="1"/>
    <n v="8.6999999999999993"/>
    <n v="87"/>
    <x v="23"/>
    <s v="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his Is Us featuring Sterling K. Brown and Chrissy Metz has one or more episodes streaming with subscription on Hulu, streaming via tv everywhere with NBC (Via Cable/Satellite Provider), free on NBC, and 7 others. It's a comedy and drama show with 73 episodes over 4 seasons. This Is Us is still airing with no announced date for the next episode or season. It has a high IMDb audience rating of 8.7 (96,593 votes) and was very well received by critics."/>
    <s v="4 Seasons"/>
    <x v="43"/>
  </r>
  <r>
    <x v="94"/>
    <n v="2010"/>
    <x v="2"/>
    <n v="8.6"/>
    <n v="87"/>
    <x v="39"/>
    <s v="Hook up with Finn and Jake as they travel the Land of Ooo searching for adventure. But remember, adventure isn’t always easy. Sometimes you’ve got to battle fire gnomes that torture old ladies, save a smelly hot dog princess from the Ice King, and thaw out a bunch of frozen businessmen. What the cabbage?!Adventure Time featuring Jeremy Shada and John DiMaggio has one or more episodes streaming with subscription on HBO MAX, streaming with subscription on Hulu, streaming via tv everywhere with Cartoon Network, and 6 others. It's an action &amp; adventure and animation show with 320 episodes over 11 seasons. Adventure Time is no longer running and has no plans to air new episodes or seasons. It has a high IMDb audience rating of 8.6 (73,759 votes) and was very well received by critics."/>
    <s v="11Seasons"/>
    <x v="2"/>
  </r>
  <r>
    <x v="95"/>
    <n v="2014"/>
    <x v="0"/>
    <n v="8.6999999999999993"/>
    <n v="87"/>
    <x v="2"/>
    <s v="Meet the most beloved sitcom horse of the 90s - 20 years later. BoJack Horseman was the star of the hit TV show &quot;Horsin' Around,&quot; but today he's washed up, living in Hollywood, complaining about everything, and wearing colorful sweaters.BoJack Horseman featuring Will Arnett and Aaron Paul has one or more episodes streaming with subscription on Netflix. It's an animation and comedy show with 77 episodes over 6 seasons. BoJack Horseman is no longer running and has no plans to air new episodes or seasons. It has a high IMDb audience rating of 8.7 (103,196 votes) and was very well received by critics."/>
    <s v="6Seasons"/>
    <x v="0"/>
  </r>
  <r>
    <x v="96"/>
    <n v="2017"/>
    <x v="0"/>
    <n v="8.6999999999999993"/>
    <n v="87"/>
    <x v="25"/>
    <s v="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he Marvelous Mrs. Maisel featuring Rachel Brosnahan and Alex Borstein has one or more episodes streaming with subscription on Prime Video. It's a comedy and drama show with 26 episodes over 3 seasons. The Marvelous Mrs. Maisel is still airing with no announced date for the next episode or season. It has a high IMDb audience rating of 8.7 (72,473 votes) and was very well received by critics."/>
    <s v="3Seasons"/>
    <x v="3"/>
  </r>
  <r>
    <x v="97"/>
    <n v="2017"/>
    <x v="0"/>
    <n v="8.1"/>
    <n v="87"/>
    <x v="4"/>
    <s v="James is 17 and is pretty sure he is a psychopath. Alyssa, also 17, is the cool and moody new girl at school. The pair make a connection and she persuades him to embark on a darkly comedic road trip in search of her real father.The End of the F***ing World featuring Alex Lawther and Jessica Barden has one or more episodes streaming with subscription on Netflix, available for purchase on Google Play, available for purchase on Prime Video, and 2 others. It's an action &amp; adventure and comedy show with 16 episodes over 2 seasons. The End of the F***ing World is no longer running and has no plans to air new episodes or seasons. It has a high IMDb audience rating of 8.1 (135,357 votes) and was very well received by critics."/>
    <s v="2 Seasons"/>
    <x v="0"/>
  </r>
  <r>
    <x v="98"/>
    <n v="2017"/>
    <x v="0"/>
    <n v="8.5"/>
    <n v="87"/>
    <x v="0"/>
    <s v="The tale of three mothers of first graders whose apparently perfect lives unravel to the point of murder.Big Little Lies featuring Nicole Kidman and Reese Witherspoon has one or more episodes streaming with subscription on HBO MAX, streaming on HBO, available for purchase on iTunes, and 4 others. It's a comedy and crime show with 14 episodes over 2 seasons. Big Little Lies is no longer running and has no plans to air new episodes or seasons. It has a high IMDb audience rating of 8.5 (145,406 votes) and was very well received by critics."/>
    <s v="2Seasons"/>
    <x v="1"/>
  </r>
  <r>
    <x v="99"/>
    <n v="2010"/>
    <x v="0"/>
    <n v="8.5"/>
    <n v="86"/>
    <x v="0"/>
    <s v="A dark psychological crime drama starring Idris Elba as Luther, a man struggling with his own terrible demons, who might be as dangerous as the depraved murderers he hunts.Luther featuring Idris Elba and Ruth Wilson has one or more episodes streaming with subscription on HBO MAX, streaming with subscription on Prime Video, streaming on Starz, and 7 others. It's a comedy and crime show with 20 episodes over 5 seasons. Luther is still airing with no announced date for the next episode or season. It has a high IMDb audience rating of 8.5 (117,282 votes) and was well received by critics."/>
    <s v="5Seasons"/>
    <x v="44"/>
  </r>
  <r>
    <x v="100"/>
    <n v="2000"/>
    <x v="0"/>
    <n v="8.6999999999999993"/>
    <n v="86"/>
    <x v="40"/>
    <s v="The off-kilter, unscripted comic vision of Larry David, who plays himself in a parallel universe in which he can't seem to do anything right, and, by his standards, neither can anyone else.Curb Your Enthusiasm featuring Larry David and Jeff Garlin has one or more episodes streaming with subscription on HBO MAX, streaming on HBO, available for purchase on iTunes, and 5 others. It's a comedy show with 122 episodes over 10 seasons. Curb Your Enthusiasm is still airing with no announced date for the next episode or season. It has a high IMDb audience rating of 8.7 (98,886 votes) and was very well received by critics."/>
    <s v="10 Seasons"/>
    <x v="1"/>
  </r>
  <r>
    <x v="101"/>
    <n v="2016"/>
    <x v="0"/>
    <n v="8.4"/>
    <n v="86"/>
    <x v="41"/>
    <s v="An anthology series centered around some of history's most famous criminals.American Crime Story featuring Darren Criss and Edgar Ramírez has one or more episodes streaming with subscription on Netflix, available for purchase on iTunes, available for purchase on Google Play, and 3 others. It's a biography and crime show with 19 episodes over 2 seasons. American Crime Story has a new episode airing on September 27th, 2020 (PDT). It has a high IMDb audience rating of 8.4 (77,103 votes) and was very well received by critics."/>
    <s v="2Seasons"/>
    <x v="0"/>
  </r>
  <r>
    <x v="102"/>
    <n v="2019"/>
    <x v="0"/>
    <n v="8.4"/>
    <n v="86"/>
    <x v="0"/>
    <s v="A teenager is charged with lying about her rape allegation, but two determined investigative female detectives discover a far more sinister truth.Unbelievable featuring Kaitlyn Dever and Toni Collette has one or more episodes streaming with subscription on Netflix. It's a crime and drama show with 8 episodes over 1 season. Unbelievable is no longer running and has no plans to air new episodes or seasons. It has a high IMDb audience rating of 8.4 (63,705 votes) and was very well received by critics."/>
    <s v="1Season"/>
    <x v="0"/>
  </r>
  <r>
    <x v="103"/>
    <n v="2010"/>
    <x v="0"/>
    <n v="8.5"/>
    <n v="86"/>
    <x v="0"/>
    <s v="Atlantic City at the dawn of Prohibition is a place where the rules don't apply. And the man who runs things -- legally and otherwise -- is the town's treasurer, Enoch &quot;Nucky&quot; Thompson, who is equal parts politician and gangster.Boardwalk Empire featuring Steve Buscemi and Stephen Graham has one or more episodes streaming with subscription on HBO MAX, streaming on HBO, available for purchase on iTunes, and 4 others. It's a crime and drama show with 56 episodes over 5 seasons. Boardwalk Empire is no longer running and has no plans to air new episodes or seasons. It has a high IMDb audience rating of 8.5 (168,640 votes) and was very well received by critics."/>
    <s v="5 Seasons"/>
    <x v="1"/>
  </r>
  <r>
    <x v="104"/>
    <n v="2013"/>
    <x v="0"/>
    <n v="8.3000000000000007"/>
    <n v="86"/>
    <x v="17"/>
    <s v="A streetwise hustler is pulled into a compelling conspiracy after witnessing the suicide of a girl who looks just like her.Orphan Black featuring Tatiana Maslany and Jordan Gavaris has one or more episodes streaming with subscription on Prime Video, streaming via tv everywhere with BBC America (Via Cable/Satellite Provider), available for purchase on iTunes, and 4 others. It's an action &amp; adventure and drama show with 51 episodes over 5 seasons. Orphan Black is no longer running and has no plans to air new episodes or seasons. It has a high IMDb audience rating of 8.3 (98,896 votes) and was very well received by critics."/>
    <s v="5Seasons"/>
    <x v="45"/>
  </r>
  <r>
    <x v="105"/>
    <n v="2015"/>
    <x v="0"/>
    <n v="8.4"/>
    <n v="86"/>
    <x v="42"/>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he Last Kingdom featuring Alexander Dreymon and Emily Cox has one or more episodes streaming with subscription on Netflix, available for purchase on iTunes, available for purchase on Google Play, and 3 others. It's an action &amp; adventure and drama show with 40 episodes over 4 seasons. The Last Kingdom is still airing with no announced date for the next episode or season. It has a high IMDb audience rating of 8.4 (76,702 votes) and was very well received by critics."/>
    <s v="4Seasons"/>
    <x v="0"/>
  </r>
  <r>
    <x v="106"/>
    <n v="2005"/>
    <x v="0"/>
    <n v="8.6999999999999993"/>
    <n v="86"/>
    <x v="1"/>
    <s v="A down-to-earth account of the lives of both illustrious and ordinary Romans set in the last days of the Roman Republic.Rome featuring Kevin McKidd and Ray Stevenson has one or more episodes streaming with subscription on HBO MAX, streaming on HBO, available for purchase on iTunes, and 4 others. It's an action &amp; adventure and drama show with 22 episodes over 2 seasons. Rome is no longer running and has no plans to air new episodes or seasons. It has a high IMDb audience rating of 8.7 (151,248 votes) and was well received by critics."/>
    <s v="2Seasons"/>
    <x v="1"/>
  </r>
  <r>
    <x v="107"/>
    <n v="1992"/>
    <x v="2"/>
    <n v="9"/>
    <n v="86"/>
    <x v="7"/>
    <s v="Batman: The Animated Series is an American animated television series based on the DC Comics superhero Batman. The series was widely praised for its thematic complexity, dark tone, artistic quality, and faithfulness to its title character's crime-fighting origins.Batman: The Animated Series featuring Kevin Conroy and Efrem Zimbalist Jr. has one or more episodes streaming with subscription on DC Universe, available for purchase on iTunes, available for purchase on Google Play, and 4 others. It's an action &amp; adventure and animation show with 114 episodes over 5 seasons. Batman: The Animated Series is no longer running and has no plans to air new episodes or seasons. It has a high IMDb audience rating of 9.0 (84,276 votes) and was very well received by critics."/>
    <s v="5Seasons"/>
    <x v="46"/>
  </r>
  <r>
    <x v="108"/>
    <n v="2015"/>
    <x v="0"/>
    <n v="8.3000000000000007"/>
    <n v="86"/>
    <x v="37"/>
    <s v="One gunshot, one death, one moment out of time that irrevocably links eight minds in disparate parts of the world, putting them in each other's lives, each other's secrets, and in terrible danger. Ordinary people suddenly reborn as &quot;Sensates.&quot;Sense8 featuring Miguel Ángel Silvestre and Max Riemelt has one or more episodes streaming with subscription on Netflix. It's a drama and fantasy show with 24 episodes over 2 seasons. Sense8 is no longer running and has no plans to air new episodes or seasons. It has a high IMDb audience rating of 8.3 (135,232 votes) and was well received by critics."/>
    <s v="2Seasons"/>
    <x v="0"/>
  </r>
  <r>
    <x v="109"/>
    <n v="2001"/>
    <x v="0"/>
    <n v="8.6999999999999993"/>
    <n v="86"/>
    <x v="23"/>
    <s v="A darkly comic look at members of a dysfunctional L.A. family that run a funeral business. When death is your business, what is your life? For the Fisher family, the world outside of their family-owned funeral home continues to be at least as challenging as--and far less predictable than--the one inside.Six Feet Under featuring Peter Krause and Michael C. Hall has one or more episodes streaming with subscription on HBO MAX, streaming on HBO, streaming with subscription on Prime Video, and 6 others. It's a comedy and drama show with 63 episodes over 5 seasons. Six Feet Under is no longer running and has no plans to air new episodes or seasons. It has a high IMDb audience rating of 8.7 (118,067 votes) and was well received by critics."/>
    <s v="5Seasons"/>
    <x v="47"/>
  </r>
  <r>
    <x v="110"/>
    <n v="2014"/>
    <x v="0"/>
    <n v="8.1999999999999993"/>
    <n v="86"/>
    <x v="43"/>
    <s v="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Penny Dreadful featuring Eva Green and Josh Hartnett has one or more episodes streaming with subscription on Netflix, streaming on Showtime, streaming with subscription on fuboTV, and 6 others. It's a drama and fantasy show with 27 episodes over 3 seasons. Penny Dreadful is no longer running and has no plans to air new episodes or seasons. It has a high IMDb audience rating of 8.2 (109,491 votes) and was very well received by critics."/>
    <s v="3 Seasons"/>
    <x v="23"/>
  </r>
  <r>
    <x v="111"/>
    <n v="2020"/>
    <x v="1"/>
    <n v="8.6"/>
    <n v="86"/>
    <x v="28"/>
    <s v="Marianne and Connell weave in and out of each other’s lives in this exploration of sex, power and the desire to love and be loved. Adaptation of Sally Rooney’s best-selling novel.Normal People featuring Daisy Edgar-Jones and Paul Mescal has one or more episodes streaming with subscription on Hulu. It's a comedy and drama show with 12 episodes over 1 season. Normal People is no longer running and has no plans to air new episodes or seasons. It has a high IMDb audience rating of 8.6 (25,651 votes) and was very well received by critics."/>
    <s v="1Season"/>
    <x v="4"/>
  </r>
  <r>
    <x v="112"/>
    <n v="2001"/>
    <x v="1"/>
    <n v="8.3000000000000007"/>
    <n v="86"/>
    <x v="22"/>
    <s v="In the unreal world of Sacred Heart Hospital, John &quot;J.D&quot; Dorian learns the ways of medicine, friendship and life.Scrubs featuring Zach Braff and Donald Faison has one or more episodes streaming with subscription on Hulu, streaming via tv everywhere with Comedy Central (Via Cable/Satellite Provider), available for purchase on iTunes, and 3 others. It's a comedy and drama show with 183 episodes over 9 seasons. Scrubs is no longer running and has no plans to air new episodes or seasons. It has a high IMDb audience rating of 8.3 (233,093 votes) and was well received by critics."/>
    <s v="9Seasons"/>
    <x v="48"/>
  </r>
  <r>
    <x v="113"/>
    <n v="2006"/>
    <x v="1"/>
    <n v="8.5"/>
    <n v="86"/>
    <x v="44"/>
    <s v="UK Comedy series about two I.T. nerds and their clueless female manager, who work in the basement of a very successful company. When they are called on for help, they are never treated with any respect at all.The IT Crowd featuring Chris O'Dowd and Richard Ayoade has one or more episodes streaming with subscription on Netflix, free on Tubi, available for purchase on iTunes, and 3 others. It's a comedy show with 25 episodes over 5 seasons. The IT Crowd is no longer running and has no plans to air new episodes or seasons. It has a high IMDb audience rating of 8.5 (129,562 votes) and was well received by critics."/>
    <s v="5Seasons"/>
    <x v="21"/>
  </r>
  <r>
    <x v="114"/>
    <n v="2011"/>
    <x v="2"/>
    <n v="7.7"/>
    <n v="86"/>
    <x v="3"/>
    <s v="There is a town in Maine where every story book character you've ever known is trapped between two worlds, victims of a powerful curse. Only one knows the truth and only one can break the spell. 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Once Upon a Time featuring Lana Parrilla and Colin O'Donoghue has one or more episodes streaming with subscription on Netflix, available for purchase on iTunes, available for purchase on Google Play, and 3 others. It's an action &amp; adventure and drama show with 156 episodes over 7 seasons. Once Upon a Time is no longer running and has no plans to air new episodes or seasons. It has a high IMDb audience rating of 7.7 (204,803 votes) and was well received by critics."/>
    <s v="7Seasons"/>
    <x v="0"/>
  </r>
  <r>
    <x v="115"/>
    <n v="1987"/>
    <x v="2"/>
    <n v="8.6"/>
    <n v="86"/>
    <x v="1"/>
    <s v="Follow the intergalactic adventures of Capt. Jean-Luc Picard and his loyal crew aboard the all-new USS Enterprise NCC-1701D, as they explore new worlds.Star Trek: The Next Generation featuring Patrick Stewart and Jonathan Frakes has one or more episodes streaming with subscription on Netflix, streaming with subscription on Prime Video, streaming with subscription on Hulu, and 6 others. It's an action &amp; adventure and drama show with 181 episodes over 7 seasons. Star Trek: The Next Generation is no longer running and has no plans to air new episodes or seasons. It has a high IMDb audience rating of 8.6 (97,096 votes) and was very well received by critics."/>
    <s v="7 Seasons"/>
    <x v="49"/>
  </r>
  <r>
    <x v="116"/>
    <n v="2013"/>
    <x v="0"/>
    <n v="8.4"/>
    <n v="86"/>
    <x v="0"/>
    <s v="The murder of a young boy in a small coastal town brings a media frenzy, which threatens to tear the community apart.Broadchurch featuring David Tennant and Olivia Colman has one or more episodes streaming with subscription on Netflix, available for purchase on iTunes, available for purchase on Google Play, and 3 others. It's a crime and drama show with 24 episodes over 3 seasons. Broadchurch is no longer running and has no plans to air new episodes or seasons. It has a high IMDb audience rating of 8.4 (88,366 votes) and was very well received by critics."/>
    <s v="3Seasons"/>
    <x v="0"/>
  </r>
  <r>
    <x v="117"/>
    <n v="1995"/>
    <x v="3"/>
    <n v="8.8000000000000007"/>
    <n v="86"/>
    <x v="28"/>
    <s v="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Pride and Prejudice featuring Colin Firth and Jennifer Ehle has one or more episodes streaming with subscription on HBO MAX, streaming with subscription on Hulu, streaming on BritBox, and 5 others. It's a drama and romance show with 6 episodes over 1 season. Pride and Prejudice is no longer running and has no plans to air new episodes or seasons. It has a high IMDb audience rating of 8.8 (73,709 votes) and was well received by critics."/>
    <s v="1Season"/>
    <x v="50"/>
  </r>
  <r>
    <x v="118"/>
    <n v="2012"/>
    <x v="1"/>
    <n v="7.5"/>
    <n v="86"/>
    <x v="27"/>
    <s v="Spoiled billionaire playboy Oliver Queen is missing and presumed dead when his yacht is lost at sea. He returns five years later a changed man, determined to clean up the city as a hooded vigilante armed with a bow.Arrow featuring Stephen Amell and David Ramsey has one or more episodes streaming with subscription on Netflix, free on The CW, available for purchase on iTunes, and 3 others. It's an action &amp; adventure and crime show with 172 episodes over 8 seasons. Arrow is no longer running and has no plans to air new episodes or seasons. It has a better than average IMDb audience rating of 7.5 (402,268 votes) and was well received by critics."/>
    <s v="8Seasons"/>
    <x v="21"/>
  </r>
  <r>
    <x v="119"/>
    <n v="2007"/>
    <x v="1"/>
    <n v="8.1999999999999993"/>
    <n v="86"/>
    <x v="4"/>
    <s v="When Buy More computer geek Chuck Bartowski unwittingly downloads a database of government information and deadly fighting skills into his head, he becomes the CIA's most vital secret. This sets Chuck on a path to become a full-fledged spy.Chuck featuring Zachary Levi and Yvonne Strahovski has one or more episodes streaming with subscription on Prime Video, available for purchase on iTunes, available for purchase on Google Play, and 4 others. It's an action &amp; adventure and comedy show with 91 episodes over 5 seasons. Chuck is no longer running and has no plans to air new episodes or seasons. It has a high IMDb audience rating of 8.2 (125,627 votes) and was very well received by critics."/>
    <s v="5Seasons"/>
    <x v="3"/>
  </r>
  <r>
    <x v="120"/>
    <n v="2016"/>
    <x v="3"/>
    <n v="9.5"/>
    <n v="86"/>
    <x v="45"/>
    <s v="David Attenborough presents a documentary series exploring how animals meet the challenges of surviving in the most iconic habitats on earth.Planet Earth II featuring David Attenborough has one or more episodes streaming via tv everywhere with BBC America (Via Cable/Satellite Provider), available for purchase on iTunes, available for purchase on Google Play, and 3 others. It's a documentary show with 7 episodes over 1 season. Planet Earth II is no longer running and has no plans to air new episodes or seasons. It has a very high IMDb audience rating of 9.5 (91,536 votes) and was very well received by critics."/>
    <s v="1Season"/>
    <x v="51"/>
  </r>
  <r>
    <x v="121"/>
    <n v="2001"/>
    <x v="1"/>
    <n v="8.3000000000000007"/>
    <n v="86"/>
    <x v="1"/>
    <s v="24 is an American television series produced for the Fox network and syndicated worldwide, starring Kiefer Sutherland as Counter Terrorist Unit agent Jack Bauer. Each 24-episode season covers 24 hours in the life of Bauer, using the real time method of narration.24 featuring Kiefer Sutherland and Mary Lynn Rajskub has one or more episodes streaming with subscription on Hulu, available for purchase on iTunes, available for purchase on Google Play, and 4 others. It's an action &amp; adventure and crime show with 205 episodes over 9 seasons. 24 is no longer running and has no plans to air new episodes or seasons. It has a high IMDb audience rating of 8.3 (168,700 votes) and was well received by critics."/>
    <s v="9 Seasons"/>
    <x v="4"/>
  </r>
  <r>
    <x v="122"/>
    <n v="2019"/>
    <x v="0"/>
    <n v="8.5"/>
    <n v="85"/>
    <x v="46"/>
    <s v="A documentary-style look into the daily (or rather, nightly) lives of three vampires in Staten Island who have “lived” together for hundreds and hundreds of years.What We Do in the Shadows featuring Kayvan Novak and Matt Berry has one or more episodes streaming with subscription on Hulu, available for purchase on Google Play, available for purchase on VUDU, and 1 other. It's a comedy and fantasy show with 20 episodes over 2 seasons. What We Do in the Shadows is still airing with no announced date for the next episode or season. It has a high IMDb audience rating of 8.5 (30,296 votes) and was very well received by critics."/>
    <s v="2Seasons"/>
    <x v="4"/>
  </r>
  <r>
    <x v="123"/>
    <n v="2016"/>
    <x v="0"/>
    <n v="8.5"/>
    <n v="85"/>
    <x v="38"/>
    <s v="After a night of partying with a female stranger, a man wakes up to find her stabbed to death and is charged with her murder.The Night Of featuring Riz Ahmed and John Turturro has one or more episodes streaming with subscription on HBO MAX, streaming on HBO, and available for purchase on VUDU. It's a crime and drama show with 8 episodes over 1 season. The Night Of is no longer running and has no plans to air new episodes or seasons. It has a high IMDb audience rating of 8.5 (113,905 votes) and was very well received by critics."/>
    <s v="1Season"/>
    <x v="1"/>
  </r>
  <r>
    <x v="124"/>
    <n v="1997"/>
    <x v="2"/>
    <n v="8.1999999999999993"/>
    <n v="85"/>
    <x v="4"/>
    <s v="Into every generation a slayer is born: one girl in all the world, a chosen one. She alone will wield the strength and skill to fight the vampires, demons, and the forces of darkness; to stop the spread of their evil and the swell of their number. She is the Slayer.Buffy the Vampire Slayer featuring Sarah Michelle Gellar and Alyson Hannigan has one or more episodes streaming with subscription on Hulu, available for purchase on iTunes, available for purchase on Google Play, and 4 others. It's an action &amp; adventure and comedy show with 144 episodes over 7 seasons. Buffy the Vampire Slayer is no longer running and has no plans to air new episodes or seasons. It has a high IMDb audience rating of 8.2 (126,149 votes) and was well received by critics."/>
    <s v="7Seasons"/>
    <x v="4"/>
  </r>
  <r>
    <x v="125"/>
    <n v="2009"/>
    <x v="1"/>
    <n v="8.1999999999999993"/>
    <n v="85"/>
    <x v="6"/>
    <s v="Neal Caffrey, a con man, forger and thief, is captured after a three-year game of cat and mouse with the FBI. With only months left serving a four-year sentence, he escapes to look for Kate, his girlfriend. Peter Burke, the FBI agent who initially captured Caffrey, finds and returns him to prison. This time, Caffrey proposes a deal with the FBI, as part of a work-release program. After some hesitation, Burke agrees, and thus begins this unconventional arrangement where Caffrey helps Burke apprehend white collar criminals.White Collar featuring Matt Bomer and Tim DeKay has one or more episodes streaming with subscription on Hulu, free on IMDb TV, available for purchase on iTunes, and 4 others. It's an action &amp; adventure and comedy show with 81 episodes over 6 seasons. White Collar is no longer running and has no plans to air new episodes or seasons. It has a high IMDb audience rating of 8.2 (115,930 votes) and was very well received by critics."/>
    <s v="6Seasons"/>
    <x v="17"/>
  </r>
  <r>
    <x v="126"/>
    <n v="2016"/>
    <x v="0"/>
    <n v="8.4"/>
    <n v="85"/>
    <x v="47"/>
    <s v="A complex drama about power politics in the world of New York high finance. Shrewd, savvy U.S. Attorney Chuck Rhoades and the brilliant, ambitious hedge fund king Bobby &quot;Axe&quot; Axelrod are on an explosive collision course, with each using all of his considerable smarts, power and influence to outmaneuver the other. The stakes are in the billions in this timely, provocative series.Billions featuring Paul Giamatti and Damian Lewis has one or more episodes streaming on Showtime, free on Showtime FREEview, streaming with subscription on fuboTV, and 6 others. It's a drama show with 60 episodes over 5 seasons. Billions is still airing with no announced date for the next episode or season. It has a high IMDb audience rating of 8.4 (66,463 votes) and was well received by critics."/>
    <s v="5Seasons"/>
    <x v="31"/>
  </r>
  <r>
    <x v="127"/>
    <n v="1999"/>
    <x v="1"/>
    <n v="8.8000000000000007"/>
    <n v="85"/>
    <x v="48"/>
    <s v="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he West Wing featuring Martin Sheen and Allison Janney has one or more episodes streaming with subscription on Netflix, available for purchase on iTunes, available for purchase on Google Play, and 3 others. It's a drama show with 155 episodes over 7 seasons. The West Wing is no longer running and has no plans to air new episodes or seasons. It has a high IMDb audience rating of 8.8 (60,875 votes) and was well received by critics."/>
    <s v="7Seasons"/>
    <x v="0"/>
  </r>
  <r>
    <x v="128"/>
    <n v="2019"/>
    <x v="0"/>
    <n v="8.5"/>
    <n v="85"/>
    <x v="49"/>
    <s v="Terrifying creatures, wicked surprises and dark comedy converge in this NSFW anthology of animated stories presented by Tim Miller and David Fincher.Love, Death &amp; Robots has one or more episodes streaming with subscription on Netflix. It's an animation and comedy show with 18 episodes over 1 season. Love, Death &amp; Robots is still airing with no announced date for the next episode or season. It has a high IMDb audience rating of 8.5 (89,025 votes) and was well received by critics."/>
    <s v="1Season"/>
    <x v="0"/>
  </r>
  <r>
    <x v="129"/>
    <n v="2017"/>
    <x v="1"/>
    <n v="8.3000000000000007"/>
    <n v="85"/>
    <x v="17"/>
    <s v="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Legion featuring Dan Stevens and Rachel Keller has one or more episodes streaming with subscription on Hulu, available for purchase on iTunes, available for purchase on Google Play, and 3 others. It's an action &amp; adventure and drama show with 27 episodes over 3 seasons. Legion is no longer running and has no plans to air new episodes or seasons. It has a high IMDb audience rating of 8.3 (80,602 votes) and was very well received by critics."/>
    <s v="3 Seasons"/>
    <x v="4"/>
  </r>
  <r>
    <x v="130"/>
    <n v="2020"/>
    <x v="0"/>
    <n v="8.6"/>
    <n v="85"/>
    <x v="22"/>
    <s v="Ted Lasso, an American football coach, moves to England when he’s hired to manage a soccer team—despite having no experience. With cynical players and a doubtful town, will he get them to see the Ted Lasso Way?Ted Lasso featuring Jason Sudeikis and Hannah Waddingham has one or more episodes streaming with subscription on Apple TV+. It's a comedy and drama show with 7 episodes over 1 season. Ted Lasso has a new episode airing on September 17th, 2020 (PDT). It has a high IMDb audience rating of 8.6 (5,651 votes) and was well received by critics."/>
    <s v="1 Season"/>
    <x v="52"/>
  </r>
  <r>
    <x v="131"/>
    <n v="2006"/>
    <x v="2"/>
    <n v="8.3000000000000007"/>
    <n v="85"/>
    <x v="10"/>
    <s v="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Psych featuring James Roday Rodriguez and Dulé Hill has one or more episodes streaming with subscription on Prime Video, free on IMDb TV, free on Peacock, and 4 others. It's a comedy and crime show with 122 episodes over 8 seasons. Psych is no longer running and has no plans to air new episodes or seasons. It has a high IMDb audience rating of 8.3 (83,014 votes) and was very well received by critics."/>
    <s v="8 Seasons"/>
    <x v="25"/>
  </r>
  <r>
    <x v="132"/>
    <n v="2015"/>
    <x v="0"/>
    <n v="7.9"/>
    <n v="85"/>
    <x v="6"/>
    <s v="After a tragic ending to her short-lived super hero stint, Jessica Jones is rebuilding her personal life and career as a detective who gets pulled into cases involving people with extraordinary abilities in New York City.Marvel's Jessica Jones featuring Krysten Ritter and Rachael Taylor has one or more episodes streaming with subscription on Netflix, available for purchase on iTunes, available for purchase on Google Play, and 3 others. It's an action &amp; adventure and crime show with 39 episodes over 3 seasons. Marvel's Jessica Jones is no longer running and has no plans to air new episodes or seasons. It has a high IMDb audience rating of 7.9 (189,094 votes) and was well received by critics."/>
    <s v="3Seasons"/>
    <x v="0"/>
  </r>
  <r>
    <x v="133"/>
    <n v="2019"/>
    <x v="0"/>
    <n v="8.4"/>
    <n v="85"/>
    <x v="1"/>
    <s v="In this zombie thriller set in Korea's medieval Joseon dynasty, a crown prince is sent on a suicide mission to investigate a mysterious outbreak.Kingdom featuring Ju Ji-hoon and Ryu Seung-ryong has one or more episodes streaming with subscription on Netflix. It's an action &amp; adventure and drama show with 12 episodes over 2 seasons. Kingdom is still airing with no announced date for the next episode or season. It has a high IMDb audience rating of 8.4 (26,193 votes) and was very well received by critics."/>
    <s v="2Seasons"/>
    <x v="0"/>
  </r>
  <r>
    <x v="134"/>
    <n v="1959"/>
    <x v="2"/>
    <n v="9"/>
    <n v="85"/>
    <x v="50"/>
    <s v="A series of unrelated stories containing drama, psychological thriller, fantasy, science fiction, suspense, and/or horror, often concluding with a macabre or unexpected twist.The Twilight Zone featuring Rod Serling has one or more episodes streaming with subscription on Netflix, streaming with subscription on Hulu, streaming on CBS All Access, and 6 others. It's a drama and fantasy show with 157 episodes over 5 seasons. The Twilight Zone is no longer running and has no plans to air new episodes or seasons. It has a high IMDb audience rating of 9.0 (68,697 votes) and was well received by critics."/>
    <s v="5 Seasons"/>
    <x v="53"/>
  </r>
  <r>
    <x v="135"/>
    <n v="2014"/>
    <x v="1"/>
    <n v="8.1"/>
    <n v="85"/>
    <x v="16"/>
    <s v="A sexy, suspense-driven legal thriller about a group of ambitious law students and their brilliant, mysterious criminal defense professor. They become entangled in a murder plot and will shake the entire university and change the course of their lives.How to Get Away with Murder featuring Viola Davis and Billy Brown has one or more episodes streaming with subscription on Netflix, streaming with subscription on Hulu, free on ABC, and 5 others. It's a crime and drama show with 90 episodes over 6 seasons. How to Get Away with Murder is no longer running and has no plans to air new episodes or seasons. It has a high IMDb audience rating of 8.1 (120,917 votes) and was well received by critics."/>
    <s v="6Seasons"/>
    <x v="9"/>
  </r>
  <r>
    <x v="136"/>
    <n v="2015"/>
    <x v="1"/>
    <n v="8.4"/>
    <n v="85"/>
    <x v="51"/>
    <s v="Formerly filthy rich video store magnate Johnny Rose, his soap star wife Moira, and their two kids, über-hipster son David and socialite daughter Alexis, suddenly find themselves broke and forced to live in Schitt's Creek, a small depressing town they once bought as a joke.Schitt's Creek featuring Eugene Levy and Catherine O'Hara has one or more episodes streaming with subscription on Netflix, streaming with subscription on Prime Video, free on CW Seed, and 6 others. It's a comedy show with 82 episodes over 6 seasons. Schitt's Creek is no longer running and has no plans to air new episodes or seasons. It has a high IMDb audience rating of 8.4 (41,347 votes) and was met with mixed reviews by critics."/>
    <s v="6 Seasons"/>
    <x v="20"/>
  </r>
  <r>
    <x v="137"/>
    <n v="2011"/>
    <x v="1"/>
    <n v="7.7"/>
    <n v="85"/>
    <x v="52"/>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New Girl featuring Zooey Deschanel and Jake Johnson has one or more episodes streaming with subscription on Netflix, streaming via tv everywhere with TBS, available for purchase on iTunes, and 5 others. It's a comedy show with 146 episodes over 7 seasons. New Girl is no longer running and has no plans to air new episodes or seasons. It has a high IMDb audience rating of 7.7 (182,534 votes) and was very well received by critics."/>
    <s v="7 Seasons"/>
    <x v="54"/>
  </r>
  <r>
    <x v="138"/>
    <n v="2002"/>
    <x v="0"/>
    <n v="8.6999999999999993"/>
    <n v="85"/>
    <x v="0"/>
    <s v="The story of an inner-city Los Angeles police precinct where some of the cops aren't above breaking the rules or working against their associates to both keep the streets safe and their self-interests intact.The Shield featuring Michael Chiklis and Walton Goggins has one or more episodes streaming with subscription on Hulu, available for purchase on Google Play, available for purchase on Prime Video, and 3 others. It's an action &amp; adventure and crime show with 92 episodes over 7 seasons. The Shield is no longer running and has no plans to air new episodes or seasons. It has a high IMDb audience rating of 8.7 (70,248 votes) and was very well received by critics."/>
    <s v="7Seasons"/>
    <x v="4"/>
  </r>
  <r>
    <x v="139"/>
    <n v="2012"/>
    <x v="0"/>
    <n v="8.6999999999999993"/>
    <n v="85"/>
    <x v="0"/>
    <s v="A drama about the investigations of AC-12, a controversial police anticorruption unit.Line of Duty featuring Martin Compston and Vicky McClure has one or more episodes streaming with subscription on Hulu, streaming on AcornTV, streaming via tv everywhere with AMC, and 9 others. It's a crime and drama show with 30 episodes over 5 seasons. Line of Duty is still airing with no announced date for the next episode or season. It has a high IMDb audience rating of 8.7 (30,298 votes) and was very well received by critics."/>
    <s v="5Seasons"/>
    <x v="55"/>
  </r>
  <r>
    <x v="140"/>
    <n v="2018"/>
    <x v="0"/>
    <n v="8.1"/>
    <n v="85"/>
    <x v="53"/>
    <s v="A troubled war veteran is assigned to protect a controversial politician who may be the target of a terror plot.Bodyguard featuring Richard Madden and Keeley Hawes has one or more episodes streaming with subscription on Netflix. It's an action &amp; adventure and crime show with 6 episodes over 1 season. Bodyguard is no longer running and has no plans to air new episodes or seasons. It has a high IMDb audience rating of 8.1 (87,648 votes) and was very well received by critics."/>
    <s v="1Season"/>
    <x v="0"/>
  </r>
  <r>
    <x v="141"/>
    <n v="2018"/>
    <x v="0"/>
    <n v="7.8"/>
    <n v="85"/>
    <x v="0"/>
    <s v="A dangerously charming, intensely obsessive young man goes to extreme measures to insert himself into the lives of those he is transfixed by.YOU featuring Victoria Pedretti and Jenna Ortega has one or more episodes streaming with subscription on Netflix, available for purchase on Google Play, available for purchase on Prime Video, and 2 others. It's a crime and drama show with 20 episodes over 2 seasons. YOU is still airing with no announced date for the next episode or season. It has a high IMDb audience rating of 7.8 (130,182 votes) and was very well received by critics."/>
    <s v="2Seasons"/>
    <x v="0"/>
  </r>
  <r>
    <x v="142"/>
    <n v="2006"/>
    <x v="1"/>
    <n v="8.6"/>
    <n v="85"/>
    <x v="29"/>
    <s v="The trials and triumphs of life in the small town of Dillon, Texas, where high school football is everything.Friday Night Lights featuring Kyle Chandler and Connie Britton has one or more episodes streaming with subscription on Hulu, streaming on Starz, streaming via tv everywhere with NBC (Via Cable/Satellite Provider), and 8 others. It's a drama and sport show with 76 episodes over 5 seasons. Friday Night Lights is no longer running and has no plans to air new episodes or seasons. It has a high IMDb audience rating of 8.6 (54,737 votes) and was very well received by critics."/>
    <s v="5Seasons"/>
    <x v="56"/>
  </r>
  <r>
    <x v="143"/>
    <n v="2018"/>
    <x v="0"/>
    <n v="8.6"/>
    <n v="85"/>
    <x v="36"/>
    <s v="The lives of the Roy family as they contemplate their future once their aging father begins to step back from the media and entertainment conglomerate they control.Succession featuring Brian Cox and Jeremy Strong has one or more episodes streaming with subscription on HBO MAX, streaming on HBO, available for purchase on iTunes, and 4 others. It's a drama show with 20 episodes over 2 seasons. Succession is still airing with no announced date for the next episode or season. It has a high IMDb audience rating of 8.6 (33,935 votes) and was very well received by critics."/>
    <s v="2 Seasons"/>
    <x v="1"/>
  </r>
  <r>
    <x v="144"/>
    <n v="2014"/>
    <x v="0"/>
    <n v="8.4"/>
    <n v="85"/>
    <x v="0"/>
    <s v="Based on Michael Connelly's best-selling novels, these are the stories of relentless LAPD homicide Detective Harry Bosch who pursues justice at all costs. But behind his tireless momentum is a man who is haunted by his past and struggles to remain loyal to his personal code: “Everybody counts or nobody counts.”Bosch featuring Titus Welliver and Jamie Hector has one or more episodes streaming with subscription on Prime Video. It's a crime and drama show with 60 episodes over 6 seasons. Bosch is still airing with no announced date for the next episode or season. It has a high IMDb audience rating of 8.4 (43,373 votes) and was very well received by critics."/>
    <s v="6 Seasons"/>
    <x v="3"/>
  </r>
  <r>
    <x v="145"/>
    <n v="2004"/>
    <x v="0"/>
    <n v="8.6"/>
    <n v="85"/>
    <x v="38"/>
    <s v="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Deadwood featuring Timothy Olyphant and Ian McShane has one or more episodes streaming with subscription on HBO MAX, streaming on HBO, available for purchase on iTunes, and 5 others. It's a crime and drama show with 36 episodes over 3 seasons. Deadwood is no longer running and has no plans to air new episodes or seasons. It has a high IMDb audience rating of 8.6 (92,159 votes) and was very well received by critics."/>
    <s v="3Seasons"/>
    <x v="1"/>
  </r>
  <r>
    <x v="146"/>
    <n v="2010"/>
    <x v="1"/>
    <n v="7.4"/>
    <n v="84"/>
    <x v="13"/>
    <s v="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quot;A&quot; who threatens to expose their secrets — including long-hidden ones they thought only Alison knew.Pretty Little Liars featuring Troian Bellisario and Ashley Benson has one or more episodes streaming with subscription on HBO MAX, streaming with subscription on Hulu, free on Freeform, and 6 others. It's a drama and mystery show with 172 episodes over 7 seasons. Pretty Little Liars is no longer running and has no plans to air new episodes or seasons. It has a better than average IMDb audience rating of 7.4 (149,168 votes) and was well received by critics."/>
    <s v="7Seasons"/>
    <x v="2"/>
  </r>
  <r>
    <x v="147"/>
    <n v="2020"/>
    <x v="0"/>
    <n v="8.6"/>
    <n v="84"/>
    <x v="3"/>
    <s v="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Raised by Wolves featuring Amanda Collin and Abubakar Salim has one or more episodes streaming with subscription on HBO MAX. It's a drama and fantasy show with 5 episodes over 1 season. Raised by Wolves has a new episode airing on September 17th, 2020 (PDT). It has a high IMDb audience rating of 8.6 (7,838 votes) and was well received by critics."/>
    <s v="1Season"/>
    <x v="57"/>
  </r>
  <r>
    <x v="148"/>
    <n v="2019"/>
    <x v="0"/>
    <n v="8.1"/>
    <n v="84"/>
    <x v="0"/>
    <s v="Set in an alternate history where “superheroes” are treated as outlaws, “Watchmen” embraces the nostalgia of the original groundbreaking graphic novel while attempting to break new ground of its own.Watchmen featuring Regina King and Tim Blake Nelson has one or more episodes streaming with subscription on HBO MAX, streaming on HBO, available for purchase on Google Play, and 2 others. It's an action &amp; adventure and crime show with 9 episodes over 1 season. Watchmen is no longer running and has no plans to air new episodes or seasons. It has a high IMDb audience rating of 8.1 (78,278 votes) and was very well received by critics."/>
    <s v="1Season"/>
    <x v="1"/>
  </r>
  <r>
    <x v="149"/>
    <n v="2006"/>
    <x v="1"/>
    <n v="9"/>
    <n v="84"/>
    <x v="54"/>
    <s v="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Death Note featuring Mamoru Miyano and Kappei Yamaguchi has one or more episodes streaming with subscription on Netflix, streaming with subscription on HBO MAX, streaming with subscription on Hulu, and 7 others. It's an animation and anime show with 37 episodes over 1 season. Death Note is no longer running and has no plans to air new episodes or seasons. It has a high IMDb audience rating of 9.0 (218,602 votes)."/>
    <s v="1Season"/>
    <x v="29"/>
  </r>
  <r>
    <x v="150"/>
    <n v="2016"/>
    <x v="0"/>
    <n v="8.6"/>
    <n v="84"/>
    <x v="22"/>
    <s v="Two cousins, with different views on art versus commerce, on their way up through the Atlanta rap scene; Earnest 'Earn' Marks, an ambitious college dropout and his estranged cousin, who suddenly becomes a star.Atlanta featuring Donald Glover and Brian Tyree Henry has one or more episodes streaming with subscription on Hulu, streaming via tv everywhere with FX (Via Cable/Satellite Provider), streaming via tv everywhere with FOX (Via Cable/Satellite Provider), and 5 others. It's a comedy and drama show with 21 episodes over 2 seasons. Atlanta is still airing with no announced date for the next episode or season. It has a high IMDb audience rating of 8.6 (48,754 votes) and was very well received by critics."/>
    <s v="2Seasons"/>
    <x v="58"/>
  </r>
  <r>
    <x v="151"/>
    <n v="2013"/>
    <x v="1"/>
    <n v="8.1999999999999993"/>
    <n v="84"/>
    <x v="0"/>
    <s v="A &quot;contemporary prequel&quot;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Bates Motel featuring Vera Farmiga and Freddie Highmore has one or more episodes streaming with subscription on Netflix, available for purchase on iTunes, available for purchase on Google Play, and 3 others. It's a crime and drama show with 50 episodes over 5 seasons. Bates Motel is no longer running and has no plans to air new episodes or seasons. It has a high IMDb audience rating of 8.2 (94,620 votes) and was very well received by critics."/>
    <s v="5 Seasons"/>
    <x v="0"/>
  </r>
  <r>
    <x v="152"/>
    <n v="2017"/>
    <x v="0"/>
    <n v="8.5"/>
    <n v="84"/>
    <x v="6"/>
    <s v="A former Marine out to punish the criminals responsible for his family's murder finds himself ensnared in a military conspiracy.Marvel's The Punisher featuring Jon Bernthal and Ben Barnes has one or more episodes streaming with subscription on Netflix, available for purchase on Google Play, available for purchase on Prime Video, and 2 others. It's an action &amp; adventure and crime show with 26 episodes over 2 seasons. Marvel's The Punisher is no longer running and has no plans to air new episodes or seasons. It has a high IMDb audience rating of 8.5 (175,422 votes) and was met with mixed reviews by critics."/>
    <s v="2Seasons"/>
    <x v="0"/>
  </r>
  <r>
    <x v="153"/>
    <n v="2014"/>
    <x v="0"/>
    <n v="8.3000000000000007"/>
    <n v="84"/>
    <x v="3"/>
    <s v="When 2% of the world's population abruptly disappears without explanation, the world struggles to understand just what they're supposed to do about it. The drama series 'The Leftovers' is the story of the people who didn't make the cut. Based on the bestselling novel by Tom Perrotta, 'The Leftovers' follows Kevin Garvey, a father of two and the chief of police in a small New York suburb, as he tries to maintain some semblance of normalcy when the notion no longer applies.The Leftovers featuring Justin Theroux and Amy Brenneman has one or more episodes streaming with subscription on HBO MAX, streaming on HBO, available for purchase on iTunes, and 4 others. It's a drama and fantasy show with 28 episodes over 3 seasons. The Leftovers is no longer running and has no plans to air new episodes or seasons. It has a high IMDb audience rating of 8.3 (75,793 votes) and was very well received by critics."/>
    <s v="3Seasons"/>
    <x v="1"/>
  </r>
  <r>
    <x v="154"/>
    <n v="2019"/>
    <x v="0"/>
    <n v="8"/>
    <n v="84"/>
    <x v="4"/>
    <s v="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Doom Patrol featuring Diane Guerrero and April Bowlby has one or more episodes streaming with subscription on HBO MAX, streaming with subscription on DC Universe, available for purchase on Google Play, and 2 others. It's an action &amp; adventure and comedy show with 24 episodes over 2 seasons. Doom Patrol is still airing with no announced date for the next episode or season. It has a high IMDb audience rating of 8.0 (30,261 votes) and was very well received by critics."/>
    <s v="2Seasons"/>
    <x v="59"/>
  </r>
  <r>
    <x v="155"/>
    <n v="1990"/>
    <x v="2"/>
    <n v="8.5"/>
    <n v="84"/>
    <x v="55"/>
    <s v="Mr Bean turns simple everyday tasks into chaotic situations and will leave you in stitches as he creates havoc wherever he goes.Mr. Bean featuring Rowan Atkinson and Matilda Ziegler has one or more episodes streaming with subscription on Prime Video, streaming with subscription on Hulu, free on Plex, and 7 others. It's a comedy and family show with 16 episodes over 1 season. Mr. Bean is no longer running and has no plans to air new episodes or seasons. It has a high IMDb audience rating of 8.5 (98,878 votes) and was very well received by critics."/>
    <s v="1Season"/>
    <x v="60"/>
  </r>
  <r>
    <x v="156"/>
    <n v="2017"/>
    <x v="1"/>
    <n v="7.9"/>
    <n v="84"/>
    <x v="38"/>
    <s v="A young mother kills a stranger in a fit of unexplainable rage. An inquisitive detective obsesses over the case, attempting to get to the bottom of the true motive behind the act.The Sinner featuring Bill Pullman and Matt Bomer has one or more episodes streaming with subscription on Netflix, streaming via tv everywhere with USA (Via Cable/Satellite Provider), streaming with subscription on fuboTV, and 6 others. It's a crime and drama show with 24 episodes over 3 seasons. The Sinner is still airing with no announced date for the next episode or season. It has a high IMDb audience rating of 7.9 (80,940 votes) and was very well received by critics."/>
    <s v="3Seasons"/>
    <x v="61"/>
  </r>
  <r>
    <x v="157"/>
    <n v="2006"/>
    <x v="1"/>
    <n v="8.1999999999999993"/>
    <n v="84"/>
    <x v="44"/>
    <s v="30 Rock is an American television comedy series that ran on NBC from October 11, 2006, to January 31, 2013, and was created by Tina Fey. The series, which is loosely based on Fey's experiences as head writer for Saturday Night Live, takes place behind the scenes of a fictional live sketch comedy series depicted as airing on NBC. The series' name refers to 30 Rockefeller Plaza in New York City, the address of the GE Building, in which the NBC Studios are located.30 Rock featuring Tina Fey and Alec Baldwin has one or more episodes streaming with subscription on Prime Video, streaming with subscription on Hulu, free on Peacock, and 5 others. It's a comedy show with 139 episodes over 7 seasons. 30 Rock is no longer running and has no plans to air new episodes or seasons. It has a high IMDb audience rating of 8.2 (109,744 votes) and was well received by critics."/>
    <s v="7Seasons"/>
    <x v="60"/>
  </r>
  <r>
    <x v="158"/>
    <n v="2015"/>
    <x v="2"/>
    <n v="8"/>
    <n v="84"/>
    <x v="12"/>
    <s v="Explore what it would be like if the Allied Powers had lost WWII, and Japan and Germany ruled the United States. Based on Philip K. Dick's award-winning novel.The Man in the High Castle featuring Alexa Davalos and Joel de la Fuente has one or more episodes streaming with subscription on Prime Video. It's a drama and fantasy show with 40 episodes over 4 seasons. The Man in the High Castle is no longer running and has no plans to air new episodes or seasons. It has a high IMDb audience rating of 8.0 (82,303 votes) and was well received by critics."/>
    <s v="4Seasons"/>
    <x v="3"/>
  </r>
  <r>
    <x v="159"/>
    <n v="2003"/>
    <x v="0"/>
    <n v="8.8000000000000007"/>
    <n v="84"/>
    <x v="56"/>
    <s v="Dave Chappelle's singular point of view is unleashed through a combination of laidback stand-up and street-smart sketches.Chappelle's Show featuring Dave Chappelle has one or more episodes streaming on CBS All Access, streaming via tv everywhere with Comedy Central (Via Cable/Satellite Provider), free on Comedy Central, and 9 others. It's a comedy and musical show with 30 episodes over 3 seasons. Chappelle's Show is no longer running and has no plans to air new episodes or seasons. It has a high IMDb audience rating of 8.8 (51,813 votes) and was very well received by critics."/>
    <s v="3Seasons"/>
    <x v="62"/>
  </r>
  <r>
    <x v="160"/>
    <n v="2012"/>
    <x v="1"/>
    <n v="7.9"/>
    <n v="84"/>
    <x v="0"/>
    <s v="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Elementary featuring Jonny Lee Miller and Lucy Liu has one or more episodes streaming with subscription on Hulu, available for purchase on iTunes, available for purchase on Google Play, and 3 others. It's a crime and drama show with 156 episodes over 7 seasons. Elementary is no longer running and has no plans to air new episodes or seasons. It has a high IMDb audience rating of 7.9 (99,587 votes) and was very well received by critics."/>
    <s v="7Seasons"/>
    <x v="4"/>
  </r>
  <r>
    <x v="161"/>
    <n v="2011"/>
    <x v="1"/>
    <n v="8.1"/>
    <n v="84"/>
    <x v="2"/>
    <s v="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quot;grand re-re-re-opening&quot; a success.Bob's Burgers featuring H. Jon Benjamin and Kristen Schaal has one or more episodes streaming with subscription on Hulu, streaming via tv everywhere with FX (Via Cable/Satellite Provider), streaming via tv everywhere with TBS, and 11 others. It's an animation and comedy show with 195 episodes over 10 seasons. Bob's Burgers has a new episode airing on September 27th, 2020 (PDT). It has a high IMDb audience rating of 8.1 (62,461 votes) and was very well received by critics."/>
    <s v="10Seasons"/>
    <x v="13"/>
  </r>
  <r>
    <x v="162"/>
    <n v="2007"/>
    <x v="2"/>
    <n v="8.6"/>
    <n v="84"/>
    <x v="11"/>
    <s v="Naruto Shippuuden is the continuation of the original animated TV series Naruto.The story revolves around an older and slightly more matured Uzumaki Naruto and his quest to save his friend Uchiha Sasuke from the grips of the snake-like Shinobi, Orochimaru. After 2 and a half years Naruto finally returns to his village of Konoha, and sets about putting his ambitions to work, though it will not be easy, as He has amassed a few (more dangerous) enemies, in the likes of the shinobi organization; Akatsuki.Naruto Shippūden featuring Kazuhiko Inoue and Akira Ishida has one or more episodes streaming with subscription on Hulu, streaming via tv everywhere with Adult Swim (Via Cable/Satellite Provider), free on Adult Swim, and 3 others. It's an action &amp; adventure and animation show with 1,257 episodes over 24 seasons. Naruto Shippūden is no longer running and has no plans to air new episodes or seasons. It has a high IMDb audience rating of 8.6 (75,896 votes)."/>
    <s v="24 Seasons"/>
    <x v="63"/>
  </r>
  <r>
    <x v="163"/>
    <n v="2019"/>
    <x v="0"/>
    <n v="8"/>
    <n v="84"/>
    <x v="22"/>
    <s v="A hotheaded widow searching for the hit-and-run driver who mowed down her husband befriends an eccentric optimist who isn't quite what she seems.Dead to Me featuring Christina Applegate and Linda Cardellini has one or more episodes streaming with subscription on Netflix. It's a comedy and crime show with 20 episodes over 2 seasons. Dead to Me is still airing with no announced date for the next episode or season. It has a high IMDb audience rating of 8.0 (49,398 votes) and was very well received by critics."/>
    <s v="2Seasons"/>
    <x v="0"/>
  </r>
  <r>
    <x v="164"/>
    <n v="2009"/>
    <x v="0"/>
    <n v="8.1999999999999993"/>
    <n v="84"/>
    <x v="22"/>
    <s v="When five young outsiders on Community Service get caught in a strange storm, they discover that they have developed superpowers.Misfits featuring Joseph Gilgun and Karla Crome has one or more episodes streaming with subscription on Hulu, available for purchase on iTunes, available for purchase on Google Play, and 3 others. It's a comedy and drama show with 39 episodes over 5 seasons. Misfits is no longer running and has no plans to air new episodes or seasons. It has a high IMDb audience rating of 8.2 (90,882 votes) and was very well received by critics."/>
    <s v="5 Seasons"/>
    <x v="4"/>
  </r>
  <r>
    <x v="165"/>
    <n v="2018"/>
    <x v="0"/>
    <n v="8"/>
    <n v="84"/>
    <x v="57"/>
    <s v="After 250 years on ice, a prisoner returns to life in a new body with one chance to win his freedom: by solving a mind-bending murder.Altered Carbon featuring Ato Essandoh and Chris Conner has one or more episodes streaming with subscription on Netflix. It's an action &amp; adventure and drama show with 18 episodes over 2 seasons. Altered Carbon is still airing with no announced date for the next episode or season. It has a high IMDb audience rating of 8.0 (136,369 votes) and was met with mixed reviews by critics."/>
    <s v="2Seasons"/>
    <x v="0"/>
  </r>
  <r>
    <x v="166"/>
    <n v="2018"/>
    <x v="1"/>
    <n v="7.9"/>
    <n v="84"/>
    <x v="23"/>
    <s v="Three &quot;good girl&quot; suburban wives and mothers suddenly find themselves in desperate circumstances and decide to stop playing it safe and risk everything to take their power back.Good Girls featuring Christina Hendricks and Mae Whitman has one or more episodes streaming with subscription on Netflix, streaming with subscription on Hulu, free on NBC, and 6 others. It's a comedy and crime show with 35 episodes over 3 seasons. Good Girls is still airing with no announced date for the next episode or season. It has a high IMDb audience rating of 7.9 (29,022 votes) and was well received by critics."/>
    <s v="3 Seasons"/>
    <x v="9"/>
  </r>
  <r>
    <x v="167"/>
    <n v="2011"/>
    <x v="1"/>
    <n v="7.6"/>
    <n v="84"/>
    <x v="58"/>
    <s v="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een Wolf featuring Tyler Posey and Dylan O'Brien has one or more episodes streaming with subscription on Prime Video, available for purchase on iTunes, available for purchase on Google Play, and 3 others. It's an action &amp; adventure and comedy show with 100 episodes over 6 seasons. Teen Wolf is no longer running and has no plans to air new episodes or seasons. It has a high IMDb audience rating of 7.6 (122,603 votes) and was well received by critics."/>
    <s v="6Seasons"/>
    <x v="3"/>
  </r>
  <r>
    <x v="168"/>
    <n v="2019"/>
    <x v="0"/>
    <n v="8.1"/>
    <n v="84"/>
    <x v="22"/>
    <s v="Aziraphale, an angel, and Crowley, a demon, join forces to find the Antichrist and stop Armageddon.Good Omens featuring Michael Sheen and David Tennant has one or more episodes streaming with subscription on Prime Video, available for purchase on Google Play, and available for purchase on YouTube. It's a comedy and drama show with 6 episodes over 1 season. Good Omens is no longer running and has no plans to air new episodes or seasons. It has a high IMDb audience rating of 8.1 (53,820 votes) and was well received by critics."/>
    <s v="1Season"/>
    <x v="3"/>
  </r>
  <r>
    <x v="169"/>
    <n v="2015"/>
    <x v="0"/>
    <n v="8.3000000000000007"/>
    <n v="84"/>
    <x v="22"/>
    <s v="30-year-old New York actor Dev takes on such pillars of maturity as the first big job, a serious relationship, and busting sex offenders on the subway.Master of None featuring Aziz Ansari and Eric Wareheim has one or more episodes streaming with subscription on Netflix. It's a comedy and drama show with 20 episodes over 2 seasons. Master of None is no longer running and has no plans to air new episodes or seasons. It has a high IMDb audience rating of 8.3 (63,764 votes) and was very well received by critics."/>
    <s v="2Seasons"/>
    <x v="0"/>
  </r>
  <r>
    <x v="170"/>
    <n v="2018"/>
    <x v="0"/>
    <n v="8.3000000000000007"/>
    <n v="84"/>
    <x v="59"/>
    <s v="A hit man from the Midwest moves to Los Angeles and gets caught up in the city's theatre arts scene.Barry featuring Bill Hader and Stephen Root has one or more episodes streaming with subscription on HBO MAX, streaming on HBO, available for purchase on iTunes, and 4 others. It's an action &amp; adventure and comedy show with 16 episodes over 2 seasons. Barry is still airing with no announced date for the next episode or season. It has a high IMDb audience rating of 8.3 (41,329 votes) and was very well received by critics."/>
    <s v="2Seasons"/>
    <x v="1"/>
  </r>
  <r>
    <x v="171"/>
    <n v="2018"/>
    <x v="0"/>
    <n v="8.1"/>
    <n v="84"/>
    <x v="1"/>
    <s v="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om Clancy's Jack Ryan featuring John Krasinski and Wendell Pierce has one or more episodes streaming with subscription on Prime Video, available for purchase on iTunes, available for purchase on Google Play, and 2 others. It's an action &amp; adventure and drama show with 16 episodes over 2 seasons. Tom Clancy's Jack Ryan is still airing with no announced date for the next episode or season. It has a high IMDb audience rating of 8.1 (83,760 votes) and was well received by critics."/>
    <s v="2Seasons"/>
    <x v="3"/>
  </r>
  <r>
    <x v="172"/>
    <n v="2010"/>
    <x v="0"/>
    <n v="8.3000000000000007"/>
    <n v="84"/>
    <x v="5"/>
    <s v="Track the intertwined real-life stories of three U.S. Marines – Robert Leckie, John Basilone, and Eugene Sledge – across the vast canvas of the Pacific Theater during World War II. A companion piece to the 2001 miniseries Band of Brothers.The Pacific featuring James Badge Dale and Jon Seda has one or more episodes streaming with subscription on HBO MAX, streaming on HBO, streaming with subscription on Prime Video, and 5 others. It's an action &amp; adventure and drama show with 10 episodes over 1 season. The Pacific is no longer running and has no plans to air new episodes or seasons. It has a high IMDb audience rating of 8.3 (96,659 votes) and was very well received by critics."/>
    <s v="1Season"/>
    <x v="47"/>
  </r>
  <r>
    <x v="173"/>
    <n v="2015"/>
    <x v="1"/>
    <n v="8.6"/>
    <n v="84"/>
    <x v="60"/>
    <s v="Filmed over 10 years, this real-life thriller follows a DNA exoneree who, while exposing police corruption, becomes a suspect in a grisly new crime.Making a Murderer featuring Kathleen Zellner and Steven Avery has one or more episodes streaming with subscription on Netflix. It's a crime and documentary show with 20 episodes over 2 seasons. Making a Murderer is no longer running and has no plans to air new episodes or seasons. It has a high IMDb audience rating of 8.6 (84,429 votes) and was well received by critics."/>
    <s v="2 Seasons"/>
    <x v="0"/>
  </r>
  <r>
    <x v="174"/>
    <n v="2020"/>
    <x v="0"/>
    <n v="8"/>
    <n v="84"/>
    <x v="61"/>
    <s v="A Hasidic Jewish woman in Brooklyn flees to Berlin from an arranged marriage and is taken in by a group of musicians -- until her past comes calling.Unorthodox featuring Shira Haas and Tamar Amit-Joseph has one or more episodes streaming with subscription on Netflix. It's a drama show with 4 episodes over 1 season. Unorthodox is no longer running and has no plans to air new episodes or seasons. It has a high IMDb audience rating of 8.0 (45,901 votes) and was very well received by critics."/>
    <s v="1 Season"/>
    <x v="0"/>
  </r>
  <r>
    <x v="11"/>
    <n v="2001"/>
    <x v="1"/>
    <n v="8.5"/>
    <n v="84"/>
    <x v="22"/>
    <s v="Documentary-style sitcom sets in the offices of a Slough paper merchant.The Office featuring Ricky Gervais and Martin Freeman has one or more episodes streaming with subscription on HBO MAX, streaming with subscription on Hulu, streaming on BritBox, and 6 others. It's a comedy and drama show with 14 episodes over 3 seasons. The Office is no longer running and has no plans to air new episodes or seasons. It has a high IMDb audience rating of 8.5 (95,723 votes) and was very well received by critics."/>
    <s v="3Seasons"/>
    <x v="50"/>
  </r>
  <r>
    <x v="175"/>
    <n v="2009"/>
    <x v="1"/>
    <n v="8.3000000000000007"/>
    <n v="84"/>
    <x v="0"/>
    <s v="Alicia Florrick boldly assumes full responsibility for her family and re-enters the workforce after her husband's very public sex and political corruption scandal lands him in jail.The Good Wife featuring Julianna Margulies and Matt Czuchry has one or more episodes streaming with subscription on Prime Video, streaming on CBS All Access, available for purchase on iTunes, and 4 others. It's a crime and drama show with 158 episodes over 7 seasons. The Good Wife is no longer running and has no plans to air new episodes or seasons. It has a high IMDb audience rating of 8.3 (66,886 votes) and was very well received by critics."/>
    <s v="7Seasons"/>
    <x v="64"/>
  </r>
  <r>
    <x v="176"/>
    <n v="2017"/>
    <x v="1"/>
    <n v="8.4"/>
    <n v="84"/>
    <x v="13"/>
    <s v="Adventurer James Keziah Delaney returns to London from Africa in 1814 along with fourteen stolen diamonds to seek vengeance after the death of his father.Taboo featuring Tom Hardy and Jonathan Pryce has one or more episodes streaming with subscription on Hulu, available for purchase on iTunes, available for purchase on Google Play, and 5 others. It's an action &amp; adventure and drama show with 8 episodes over 1 season. Taboo is still airing with no announced date for the next episode or season. It has a high IMDb audience rating of 8.4 (112,015 votes) and was well received by critics."/>
    <s v="1 Season"/>
    <x v="4"/>
  </r>
  <r>
    <x v="177"/>
    <n v="2020"/>
    <x v="0"/>
    <n v="7.3"/>
    <n v="84"/>
    <x v="3"/>
    <s v="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Lovecraft Country featuring Jonathan Majors and Jurnee Smollett has one or more episodes streaming with subscription on HBO MAX, and streaming on HBO. It's a drama and fantasy show with 5 episodes over 1 season. Lovecraft Country has a new episode airing on September 20th, 2020 (PDT). It has a better than average IMDb audience rating of 7.3 (11,027 votes) and was well received by critics."/>
    <s v="1Season"/>
    <x v="1"/>
  </r>
  <r>
    <x v="178"/>
    <n v="2020"/>
    <x v="0"/>
    <n v="8"/>
    <n v="84"/>
    <x v="62"/>
    <s v="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Upload featuring Robbie Amell and Andy Allo has one or more episodes streaming with subscription on Prime Video. It's a comedy and fantasy show with 10 episodes over 1 season. Upload is still airing with no announced date for the next episode or season. It has a high IMDb audience rating of 8.0 (31,246 votes) and was well received by critics."/>
    <s v="1 Season"/>
    <x v="3"/>
  </r>
  <r>
    <x v="179"/>
    <n v="2018"/>
    <x v="0"/>
    <n v="7.6"/>
    <n v="84"/>
    <x v="0"/>
    <s v="When three working class kids enroll in the most exclusive school in Spain, the clash between the wealthy and the poor students leads to tragedy.Elite featuring Itzan Escamilla and Mina El Hammani has one or more episodes streaming with subscription on Netflix. It's a crime and drama show with 24 episodes over 3 seasons. Elite is still airing with no announced date for the next episode or season. It has a high IMDb audience rating of 7.6 (41,883 votes) and was very well received by critics."/>
    <s v="3Seasons"/>
    <x v="0"/>
  </r>
  <r>
    <x v="180"/>
    <n v="2005"/>
    <x v="2"/>
    <n v="8.6"/>
    <n v="84"/>
    <x v="1"/>
    <s v="The Doctor is a Time Lord: a 900 year old alien with 2 hearts, part of a gifted civilization who mastered time travel. The Doctor saves planets for a living—more of a hobby actually, and the Doctor's very, very good at it.Doctor Who featuring Jodie Whittaker and Mandip Gill has one or more episodes streaming with subscription on HBO MAX, streaming via tv everywhere with BBC America (Via Cable/Satellite Provider), available for purchase on iTunes, and 5 others. It's an action &amp; adventure and drama show with 151 episodes over 12 seasons. Doctor Who is still airing with no announced date for the next episode or season. It has a high IMDb audience rating of 8.6 (195,628 votes)."/>
    <s v="12Seasons"/>
    <x v="65"/>
  </r>
  <r>
    <x v="181"/>
    <n v="2019"/>
    <x v="2"/>
    <n v="9.3000000000000007"/>
    <n v="84"/>
    <x v="63"/>
    <s v="Experience our planet's natural beauty and examine how climate change impacts all living creatures in this ambitious documentary of spectacular scope.Our Planet featuring David Attenborough has one or more episodes streaming with subscription on Netflix. It's a documentary show with 8 episodes over 1 season. Our Planet is no longer running and has no plans to air new episodes or seasons. It has a very high IMDb audience rating of 9.3 (28,428 votes) and was very well received by critics."/>
    <s v="1Season"/>
    <x v="0"/>
  </r>
  <r>
    <x v="182"/>
    <n v="2008"/>
    <x v="2"/>
    <n v="8.1999999999999993"/>
    <n v="83"/>
    <x v="64"/>
    <s v="Yoda, Obi-Wan Kenobi, Anakin Skywalker, Mace Windu and other Jedi Knights lead the Grand Army of the Republic against the droid army of the Separatists.Star Wars: The Clone Wars featuring James Arnold Taylor and Corey Burton has one or more episodes streaming with subscription on Disney+, available for purchase on iTunes, available for purchase on Google Play, and 3 others. It's an action &amp; adventure and animation show with 133 episodes over 7 seasons. Star Wars: The Clone Wars is no longer running and has no plans to air new episodes or seasons. It has a high IMDb audience rating of 8.2 (54,477 votes) and was very well received by critics."/>
    <s v="7 Seasons"/>
    <x v="14"/>
  </r>
  <r>
    <x v="183"/>
    <n v="2011"/>
    <x v="0"/>
    <n v="8"/>
    <n v="83"/>
    <x v="18"/>
    <s v="An anthology horror drama series centering on different characters and locations, including a house with a murderous past, an asylum, a witch coven, a freak show, a hotel, a farmhouse in Roanoke and a cult.American Horror Story featuring Emma Roberts and Billie Lourd has one or more episodes streaming with subscription on Netflix, streaming with subscription on Prime Video, streaming with subscription on Hulu, and 5 others. It's a drama and fantasy show with 104 episodes over 9 seasons. American Horror Story is still airing with no announced date for the next episode or season. It has a high IMDb audience rating of 8.0 (268,983 votes)."/>
    <s v="9 Seasons"/>
    <x v="49"/>
  </r>
  <r>
    <x v="184"/>
    <n v="1999"/>
    <x v="2"/>
    <n v="8.6999999999999993"/>
    <n v="83"/>
    <x v="11"/>
    <s v="Years ago, the fearsome pirate king Gol D. Roger was executed, leaving a huge pile of treasure and the famous &quot;One Piece&quot; behind. Whoever claims the &quot;One Piece&quot; will be named the new pirate king. Monkey D. Luffy, a boy who consumed one of the &quot;Devil's Fruits&quot;, has it in his head that he'll follow in the footsteps of his idol, the pirate Shanks, and find the One Piece. It helps, of course, that his body has the properties of rubber and he's surrounded by a bevy of skilled fighters and thieves to help him along the way. Monkey D. Luffy brings a bunch of his crew followed by, Roronoa Zoro, Nami, Usopp, Sanji, Tony-Tony Chopper, Nico Robin, Franky, and Brook. They will do anything to get the One Piece and become King of the Pirates!One Piece featuring Mayumi Tanaka and Kazuya Nakai has one or more episodes streaming with subscription on Netflix, streaming with subscription on Hulu, streaming with subscription on Crunchyroll, and 3 others. It's an action &amp; adventure and animation show with 1,954 episodes over 19 seasons. One Piece is still airing with no announced date for the next episode or season. It has a high IMDb audience rating of 8.7 (62,320 votes)."/>
    <s v="19 Seasons"/>
    <x v="9"/>
  </r>
  <r>
    <x v="185"/>
    <n v="2009"/>
    <x v="1"/>
    <n v="8.1"/>
    <n v="83"/>
    <x v="10"/>
    <s v="After a serial killer imitates the plots of his novels, successful mystery novelist Richard &quot;Rick&quot; Castle receives permission from the Mayor of New York City to tag along with an NYPD homicide investigation team for research purposes.Castle featuring Nathan Fillion and Stana Katic has one or more episodes available for purchase on iTunes, available for purchase on Google Play, available for purchase on Prime Video, and 3 others. It's a comedy and crime show with 173 episodes over 8 seasons. Castle is no longer running and has no plans to air new episodes or seasons. It has a high IMDb audience rating of 8.1 (138,237 votes) and was well received by critics."/>
    <s v="8Seasons"/>
    <x v="0"/>
  </r>
  <r>
    <x v="186"/>
    <n v="2016"/>
    <x v="0"/>
    <n v="8.1999999999999993"/>
    <n v="83"/>
    <x v="57"/>
    <s v="An English teacher travels back in time to prevent the Kennedy assassination, but discovers he is attached to the life he has made in a bygone era.11.22.63 featuring James Franco and Sarah Gadon has one or more episodes streaming with subscription on Hulu, available for purchase on iTunes, available for purchase on Google Play, and 4 others. It's a drama and fantasy show with 8 episodes over 1 season. 11.22.63 is no longer running and has no plans to air new episodes or seasons. It has a high IMDb audience rating of 8.2 (69,556 votes) and was well received by critics."/>
    <s v="1 Season"/>
    <x v="4"/>
  </r>
  <r>
    <x v="133"/>
    <n v="2014"/>
    <x v="0"/>
    <n v="8.5"/>
    <n v="83"/>
    <x v="29"/>
    <s v="A raw family drama set against the world of Mixed Martial Arts (MMA) in Venice, California. Alvey Kulina owns Navy St. MMA with the help of his girlfriend Lisa Prince. He is willing to go through extraordinary means to make sure his fighters are taken care of, but all of this responsibility comes at a steep price. He has complicated relationships with both of his sons, Jay and Nate, who are both struggling with their own identities and places within Alvey’s life and gym.Kingdom featuring Frank Grillo and Jonathan Tucker has one or more episodes streaming with subscription on Netflix, available for purchase on iTunes, available for purchase on Google Play, and 1 other. It's a drama and sport show with 40 episodes over 3 seasons. Kingdom is no longer running and has no plans to air new episodes or seasons. It has a high IMDb audience rating of 8.5 (12,294 votes) and was well received by critics."/>
    <s v="3Seasons"/>
    <x v="0"/>
  </r>
  <r>
    <x v="187"/>
    <n v="2014"/>
    <x v="1"/>
    <n v="7.8"/>
    <n v="83"/>
    <x v="27"/>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Gotham featuring Ben McKenzie and Donal Logue has one or more episodes streaming with subscription on Netflix, streaming via tv everywhere with FOX (Via Cable/Satellite Provider), available for purchase on iTunes, and 4 others. It's an action &amp; adventure and crime show with 101 episodes over 5 seasons. Gotham is no longer running and has no plans to air new episodes or seasons. It has a high IMDb audience rating of 7.8 (207,849 votes) and was well received by critics."/>
    <s v="5Seasons"/>
    <x v="66"/>
  </r>
  <r>
    <x v="188"/>
    <n v="2007"/>
    <x v="2"/>
    <n v="8.3000000000000007"/>
    <n v="83"/>
    <x v="22"/>
    <s v="A pie-maker, with the power to bring dead people back to life, solves murder mysteries with his alive-again childhood sweetheart, a cynical private investigator, and a lovesick waitress.Pushing Daisies featuring Lee Pace and Anna Friel has one or more episodes free on CW Seed, available for purchase on iTunes, available for purchase on Google Play, and 2 others. It's a comedy and crime show with 22 episodes over 2 seasons. Pushing Daisies is no longer running and has no plans to air new episodes or seasons. It has a high IMDb audience rating of 8.3 (52,894 votes) and was very well received by critics."/>
    <s v="2Seasons"/>
    <x v="22"/>
  </r>
  <r>
    <x v="189"/>
    <n v="2016"/>
    <x v="1"/>
    <n v="8.1"/>
    <n v="83"/>
    <x v="0"/>
    <s v="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he Night Manager featuring Tom Hiddleston and Hugh Laurie has one or more episodes streaming with subscription on Prime Video, available for purchase on iTunes, available for purchase on Google Play, and 2 others. It's an action &amp; adventure and crime show with 6 episodes over 1 season. The Night Manager is no longer running and has no plans to air new episodes or seasons. It has a high IMDb audience rating of 8.1 (67,680 votes) and was very well received by critics."/>
    <s v="1Season"/>
    <x v="3"/>
  </r>
  <r>
    <x v="190"/>
    <n v="2011"/>
    <x v="1"/>
    <n v="7.8"/>
    <n v="83"/>
    <x v="6"/>
    <s v="After Portland homicide detective Nick Burkhardt discovers he's descended from an elite line of criminal profilers known as &quot;Grimms,&quot; he increasingly finds his responsibilities as a detective at odds with his new responsibilities as a Grimm.Grimm featuring David Giuntoli and Silas Weir Mitchell has one or more episodes streaming with subscription on Prime Video, available for purchase on iTunes, available for purchase on Google Play, and 2 others. It's an action &amp; adventure and crime show with 123 episodes over 6 seasons. Grimm is no longer running and has no plans to air new episodes or seasons. It has a high IMDb audience rating of 7.8 (107,421 votes) and was very well received by critics."/>
    <s v="6Seasons"/>
    <x v="3"/>
  </r>
  <r>
    <x v="191"/>
    <n v="2011"/>
    <x v="1"/>
    <n v="8.9"/>
    <n v="83"/>
    <x v="11"/>
    <s v="Twelve-year-old Gon Freecss one day discovers that the father he had always been told was dead was alive and well. His Father, Ging, is a Hunter—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Hunter x Hunter featuring 潘惠美 and Mariya Ise has one or more episodes streaming with subscription on Netflix, streaming with subscription on HBO MAX, streaming with subscription on Hulu, and 10 others. It's an action &amp; adventure and animation show with 274 episodes over 6 seasons. Hunter x Hunter is no longer running and has no plans to air new episodes or seasons. It has a high IMDb audience rating of 8.9 (48,134 votes)."/>
    <s v="6 Seasons"/>
    <x v="29"/>
  </r>
  <r>
    <x v="192"/>
    <n v="2005"/>
    <x v="1"/>
    <n v="7.8"/>
    <n v="83"/>
    <x v="65"/>
    <s v="Dr. Temperance Brennan and her colleagues at the Jeffersonian's Medico-Legal Lab assist Special Agent Seeley Booth with murder investigations when the remains are so badly decomposed, burned or destroyed that the standard identification methods are useless.Bones featuring Emily Deschanel and David Boreanaz has one or more episodes streaming with subscription on Prime Video, streaming with subscription on Hulu, streaming via tv everywhere with TNT, and 3 others. It's a comedy and crime show with 247 episodes over 12 seasons. Bones is no longer running and has no plans to air new episodes or seasons. It has a high IMDb audience rating of 7.8 (136,120 votes) and was very well received by critics."/>
    <s v="12Seasons"/>
    <x v="67"/>
  </r>
  <r>
    <x v="193"/>
    <n v="2015"/>
    <x v="0"/>
    <n v="8.4"/>
    <n v="83"/>
    <x v="66"/>
    <s v="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Ash vs Evil Dead featuring Bruce Campbell and Lucy Lawless has one or more episodes streaming with subscription on Netflix, streaming on Starz, available for purchase on iTunes, and 5 others. It's an action &amp; adventure and comedy show with 32 episodes over 3 seasons. Ash vs Evil Dead is no longer running and has no plans to air new episodes or seasons. It has a high IMDb audience rating of 8.4 (63,009 votes) and was very well received by critics."/>
    <s v="3Seasons"/>
    <x v="34"/>
  </r>
  <r>
    <x v="194"/>
    <n v="1993"/>
    <x v="2"/>
    <n v="8"/>
    <n v="83"/>
    <x v="67"/>
    <s v="After many years spent at the “Cheers” bar, Frasier moves back home to Seattle to work as a radio psychiatrist after his policeman father gets shot in the hip on duty.Frasier featuring Kelsey Grammer and David Hyde Pierce has one or more episodes streaming with subscription on Hulu, streaming on CBS All Access, free on CBS, and 8 others. It's a comedy show with 264 episodes over 11 seasons. Frasier is no longer running and has no plans to air new episodes or seasons. It has a high IMDb audience rating of 8.0 (71,785 votes) and was very well received by critics."/>
    <s v="11Seasons"/>
    <x v="68"/>
  </r>
  <r>
    <x v="195"/>
    <n v="2019"/>
    <x v="0"/>
    <n v="8.4"/>
    <n v="83"/>
    <x v="22"/>
    <s v="A behind-the-scenes look at the lives of the people who help America wake up in the morning, exploring the unique challenges faced by the men and women who carry out this daily televised ritual.The Morning Show featuring Jennifer Aniston and Reese Witherspoon has one or more episodes streaming with subscription on Apple TV+. It's a comedy and drama show with 10 episodes over 1 season. The Morning Show is still airing with no announced date for the next episode or season. It has a high IMDb audience rating of 8.4 (41,437 votes) and was met with mixed reviews by critics."/>
    <s v="1 Season"/>
    <x v="52"/>
  </r>
  <r>
    <x v="196"/>
    <n v="2019"/>
    <x v="0"/>
    <n v="7.9"/>
    <n v="83"/>
    <x v="22"/>
    <s v="Nadia keeps dying and reliving her 36th birthday party. She's trapped in a surreal time loop -- and staring down the barrel of her own mortality.Russian Doll featuring Natasha Lyonne and Greta Lee has one or more episodes streaming with subscription on Netflix. It's a comedy and drama show with 8 episodes over 1 season. Russian Doll is still airing with no announced date for the next episode or season. It has a high IMDb audience rating of 7.9 (61,986 votes) and was very well received by critics."/>
    <s v="1Seaso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E8D68-83B2-4BC0-A93F-2F1433340A58}"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6:C12" firstHeaderRow="1" firstDataRow="1" firstDataCol="1"/>
  <pivotFields count="11">
    <pivotField dataField="1" showAll="0">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pivotField>
    <pivotField showAll="0"/>
    <pivotField showAll="0"/>
    <pivotField showAll="0"/>
    <pivotField showAll="0"/>
    <pivotField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sortType="descending">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autoSortScope>
        <pivotArea dataOnly="0" outline="0" fieldPosition="0">
          <references count="1">
            <reference field="4294967294" count="1" selected="0">
              <x v="0"/>
            </reference>
          </references>
        </pivotArea>
      </autoSortScope>
    </pivotField>
    <pivotField axis="axisRow" showAll="0" defaultSubtotal="0">
      <items count="5">
        <item x="0"/>
        <item x="1"/>
        <item n="others" sd="0" x="4"/>
        <item x="3"/>
        <item x="2"/>
      </items>
    </pivotField>
    <pivotField showAll="0">
      <items count="8">
        <item x="1"/>
        <item x="2"/>
        <item x="6"/>
        <item x="3"/>
        <item x="0"/>
        <item x="4"/>
        <item x="5"/>
        <item t="default"/>
      </items>
    </pivotField>
  </pivotFields>
  <rowFields count="1">
    <field x="9"/>
  </rowFields>
  <rowItems count="6">
    <i>
      <x/>
    </i>
    <i>
      <x v="1"/>
    </i>
    <i>
      <x v="2"/>
    </i>
    <i>
      <x v="3"/>
    </i>
    <i>
      <x v="4"/>
    </i>
    <i t="grand">
      <x/>
    </i>
  </rowItems>
  <colItems count="1">
    <i/>
  </colItems>
  <dataFields count="1">
    <dataField name="Count of Series Title"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BDDC4-D0BE-4F6C-8459-678159CA293C}"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5:C13" firstHeaderRow="1" firstDataRow="1" firstDataCol="1"/>
  <pivotFields count="11">
    <pivotField showAll="0">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pivotField>
    <pivotField showAll="0"/>
    <pivotField showAll="0"/>
    <pivotField dataField="1" showAll="0"/>
    <pivotField showAll="0"/>
    <pivotField axis="axisRow"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pivotField>
    <pivotField showAll="0" defaultSubtotal="0">
      <items count="5">
        <item x="0"/>
        <item x="1"/>
        <item n="others" sd="0" x="4"/>
        <item x="3"/>
        <item x="2"/>
      </items>
    </pivotField>
    <pivotField axis="axisRow" showAll="0" sortType="descending">
      <items count="8">
        <item n="Action &amp; Adventure" sd="0" x="1"/>
        <item n="Animation" sd="0" x="2"/>
        <item n="Others" sd="0" x="6"/>
        <item n="Comedy" sd="0" x="3"/>
        <item sd="0" x="0"/>
        <item n="Drama" sd="0" x="4"/>
        <item n="Horror" sd="0" x="5"/>
        <item t="default"/>
      </items>
      <autoSortScope>
        <pivotArea dataOnly="0" outline="0" fieldPosition="0">
          <references count="1">
            <reference field="4294967294" count="1" selected="0">
              <x v="0"/>
            </reference>
          </references>
        </pivotArea>
      </autoSortScope>
    </pivotField>
  </pivotFields>
  <rowFields count="2">
    <field x="10"/>
    <field x="5"/>
  </rowFields>
  <rowItems count="8">
    <i>
      <x v="1"/>
    </i>
    <i>
      <x v="2"/>
    </i>
    <i>
      <x v="4"/>
    </i>
    <i>
      <x/>
    </i>
    <i>
      <x v="3"/>
    </i>
    <i>
      <x v="5"/>
    </i>
    <i>
      <x v="6"/>
    </i>
    <i t="grand">
      <x/>
    </i>
  </rowItems>
  <colItems count="1">
    <i/>
  </colItems>
  <dataFields count="1">
    <dataField name="Average of IMDB Rating2" fld="3" subtotal="average" baseField="10" baseItem="0"/>
  </dataFields>
  <formats count="7">
    <format dxfId="8">
      <pivotArea collapsedLevelsAreSubtotals="1" fieldPosition="0">
        <references count="1">
          <reference field="10" count="1">
            <x v="0"/>
          </reference>
        </references>
      </pivotArea>
    </format>
    <format dxfId="7">
      <pivotArea collapsedLevelsAreSubtotals="1" fieldPosition="0">
        <references count="1">
          <reference field="10" count="1">
            <x v="1"/>
          </reference>
        </references>
      </pivotArea>
    </format>
    <format dxfId="6">
      <pivotArea collapsedLevelsAreSubtotals="1" fieldPosition="0">
        <references count="1">
          <reference field="10" count="1">
            <x v="2"/>
          </reference>
        </references>
      </pivotArea>
    </format>
    <format dxfId="5">
      <pivotArea collapsedLevelsAreSubtotals="1" fieldPosition="0">
        <references count="1">
          <reference field="10" count="1">
            <x v="3"/>
          </reference>
        </references>
      </pivotArea>
    </format>
    <format dxfId="4">
      <pivotArea collapsedLevelsAreSubtotals="1" fieldPosition="0">
        <references count="1">
          <reference field="10" count="1">
            <x v="4"/>
          </reference>
        </references>
      </pivotArea>
    </format>
    <format dxfId="3">
      <pivotArea collapsedLevelsAreSubtotals="1" fieldPosition="0">
        <references count="1">
          <reference field="10" count="1">
            <x v="5"/>
          </reference>
        </references>
      </pivotArea>
    </format>
    <format dxfId="2">
      <pivotArea collapsedLevelsAreSubtotals="1" fieldPosition="0">
        <references count="1">
          <reference field="10" count="1">
            <x v="6"/>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684EA-3553-4936-9548-6C87537A9D6C}"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B6" firstHeaderRow="1" firstDataRow="1" firstDataCol="1"/>
  <pivotFields count="11">
    <pivotField showAll="0">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pivotField>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pivotField>
    <pivotField showAll="0" defaultSubtotal="0">
      <items count="5">
        <item x="0"/>
        <item x="1"/>
        <item n="others" sd="0" x="4"/>
        <item x="3"/>
        <item x="2"/>
      </items>
    </pivotField>
    <pivotField showAll="0">
      <items count="8">
        <item n="Action &amp; Adventure" sd="0" x="1"/>
        <item n="Animation" sd="0" x="2"/>
        <item n="Others" sd="0" x="6"/>
        <item n="Comedy" sd="0" x="3"/>
        <item sd="0" x="0"/>
        <item n="Drama" sd="0" x="4"/>
        <item n="Horror" sd="0" x="5"/>
        <item t="default"/>
      </items>
    </pivotField>
  </pivotFields>
  <rowFields count="1">
    <field x="2"/>
  </rowFields>
  <rowItems count="5">
    <i>
      <x v="3"/>
    </i>
    <i>
      <x v="2"/>
    </i>
    <i>
      <x v="1"/>
    </i>
    <i>
      <x/>
    </i>
    <i t="grand">
      <x/>
    </i>
  </rowItems>
  <colItems count="1">
    <i/>
  </colItems>
  <dataFields count="1">
    <dataField name="Average of IMDB Rating2" fld="3" subtotal="average" baseField="10" baseItem="0"/>
  </dataFields>
  <formats count="2">
    <format dxfId="1">
      <pivotArea collapsedLevelsAreSubtotals="1" fieldPosition="0">
        <references count="1">
          <reference field="2" count="0"/>
        </references>
      </pivotArea>
    </format>
    <format dxfId="0">
      <pivotArea grandRow="1"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908522-06B9-4C64-949A-F4970F6D73C2}"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9" firstHeaderRow="1" firstDataRow="1" firstDataCol="1"/>
  <pivotFields count="11">
    <pivotField showAll="0">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pivotField>
    <pivotField showAll="0"/>
    <pivotField showAll="0"/>
    <pivotField dataField="1" showAll="0"/>
    <pivotField showAll="0"/>
    <pivotField axis="axisRow"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pivotField>
    <pivotField showAll="0" defaultSubtotal="0">
      <items count="5">
        <item x="0"/>
        <item x="1"/>
        <item n="others" sd="0" x="4"/>
        <item x="3"/>
        <item x="2"/>
      </items>
    </pivotField>
    <pivotField axis="axisRow" showAll="0" sortType="descending">
      <items count="8">
        <item n="Action &amp; Adventure" sd="0" x="1"/>
        <item n="Animation" sd="0" x="2"/>
        <item n="Others" sd="0" x="6"/>
        <item n="Comedy" sd="0" x="3"/>
        <item sd="0" x="0"/>
        <item n="Drama" sd="0" x="4"/>
        <item n="Horror" sd="0" x="5"/>
        <item t="default"/>
      </items>
      <autoSortScope>
        <pivotArea dataOnly="0" outline="0" fieldPosition="0">
          <references count="1">
            <reference field="4294967294" count="1" selected="0">
              <x v="0"/>
            </reference>
          </references>
        </pivotArea>
      </autoSortScope>
    </pivotField>
  </pivotFields>
  <rowFields count="2">
    <field x="10"/>
    <field x="5"/>
  </rowFields>
  <rowItems count="8">
    <i>
      <x v="5"/>
    </i>
    <i>
      <x v="3"/>
    </i>
    <i>
      <x/>
    </i>
    <i>
      <x v="4"/>
    </i>
    <i>
      <x v="2"/>
    </i>
    <i>
      <x v="1"/>
    </i>
    <i>
      <x v="6"/>
    </i>
    <i t="grand">
      <x/>
    </i>
  </rowItems>
  <colItems count="1">
    <i/>
  </colItems>
  <dataFields count="1">
    <dataField name="Count of IMDB Rating" fld="3" subtotal="count" baseField="5"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C984F0-A15C-4882-9FF8-345AAEE7D113}"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pivotFields count="11">
    <pivotField axis="axisRow" showAll="0" measureFilter="1" sortType="descending">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dataField="1" showAll="0"/>
    <pivotField showAll="0"/>
    <pivotField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pivotField>
    <pivotField axis="axisRow" showAll="0" measureFilter="1" sortType="descending" defaultSubtotal="0">
      <items count="5">
        <item h="1" x="0"/>
        <item h="1" x="1"/>
        <item n="others" h="1" sd="0" x="4"/>
        <item x="3"/>
        <item h="1" x="2"/>
      </items>
      <autoSortScope>
        <pivotArea dataOnly="0" outline="0" fieldPosition="0">
          <references count="1">
            <reference field="4294967294" count="1" selected="0">
              <x v="0"/>
            </reference>
          </references>
        </pivotArea>
      </autoSortScope>
    </pivotField>
    <pivotField showAll="0">
      <items count="8">
        <item x="1"/>
        <item x="2"/>
        <item x="6"/>
        <item x="3"/>
        <item x="0"/>
        <item x="4"/>
        <item x="5"/>
        <item t="default"/>
      </items>
    </pivotField>
  </pivotFields>
  <rowFields count="2">
    <field x="9"/>
    <field x="0"/>
  </rowFields>
  <rowItems count="13">
    <i>
      <x v="3"/>
    </i>
    <i r="1">
      <x v="75"/>
    </i>
    <i r="1">
      <x v="28"/>
    </i>
    <i r="1">
      <x v="106"/>
    </i>
    <i r="1">
      <x v="158"/>
    </i>
    <i r="1">
      <x v="129"/>
    </i>
    <i r="1">
      <x v="178"/>
    </i>
    <i r="1">
      <x v="98"/>
    </i>
    <i r="1">
      <x v="136"/>
    </i>
    <i r="1">
      <x v="21"/>
    </i>
    <i r="1">
      <x v="39"/>
    </i>
    <i r="1">
      <x v="110"/>
    </i>
    <i t="grand">
      <x/>
    </i>
  </rowItems>
  <colItems count="1">
    <i/>
  </colItems>
  <dataFields count="1">
    <dataField name="Sum of IMDB Rating"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1"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CE8598-C9A6-49BC-AE6D-E1EB38E3F485}"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B10" firstHeaderRow="1" firstDataRow="1" firstDataCol="1"/>
  <pivotFields count="9">
    <pivotField dataField="1" showAll="0">
      <items count="895">
        <item x="624"/>
        <item x="121"/>
        <item x="186"/>
        <item x="285"/>
        <item x="288"/>
        <item x="157"/>
        <item x="810"/>
        <item x="292"/>
        <item x="695"/>
        <item x="627"/>
        <item x="825"/>
        <item x="615"/>
        <item x="801"/>
        <item x="94"/>
        <item x="201"/>
        <item x="637"/>
        <item x="481"/>
        <item x="850"/>
        <item x="869"/>
        <item x="286"/>
        <item x="313"/>
        <item x="867"/>
        <item x="477"/>
        <item x="789"/>
        <item x="845"/>
        <item x="165"/>
        <item x="690"/>
        <item x="101"/>
        <item x="438"/>
        <item x="311"/>
        <item x="183"/>
        <item x="342"/>
        <item x="520"/>
        <item x="294"/>
        <item x="614"/>
        <item x="557"/>
        <item x="257"/>
        <item x="758"/>
        <item x="78"/>
        <item x="80"/>
        <item x="118"/>
        <item x="193"/>
        <item x="150"/>
        <item x="15"/>
        <item x="200"/>
        <item x="9"/>
        <item x="892"/>
        <item x="546"/>
        <item x="419"/>
        <item x="738"/>
        <item x="878"/>
        <item x="688"/>
        <item x="580"/>
        <item x="830"/>
        <item x="17"/>
        <item x="206"/>
        <item x="170"/>
        <item x="857"/>
        <item x="151"/>
        <item x="573"/>
        <item x="490"/>
        <item x="107"/>
        <item x="209"/>
        <item x="871"/>
        <item x="551"/>
        <item x="855"/>
        <item x="14"/>
        <item x="497"/>
        <item x="732"/>
        <item x="590"/>
        <item x="793"/>
        <item x="98"/>
        <item x="216"/>
        <item x="126"/>
        <item x="204"/>
        <item x="760"/>
        <item x="591"/>
        <item x="16"/>
        <item x="210"/>
        <item x="797"/>
        <item x="654"/>
        <item x="434"/>
        <item x="661"/>
        <item x="415"/>
        <item x="312"/>
        <item x="545"/>
        <item x="440"/>
        <item x="103"/>
        <item x="161"/>
        <item x="140"/>
        <item x="95"/>
        <item x="192"/>
        <item x="724"/>
        <item x="301"/>
        <item x="144"/>
        <item x="544"/>
        <item x="264"/>
        <item x="860"/>
        <item x="528"/>
        <item x="0"/>
        <item x="331"/>
        <item x="116"/>
        <item x="667"/>
        <item x="31"/>
        <item x="124"/>
        <item x="698"/>
        <item x="218"/>
        <item x="227"/>
        <item x="403"/>
        <item x="659"/>
        <item x="327"/>
        <item x="815"/>
        <item x="526"/>
        <item x="185"/>
        <item x="361"/>
        <item x="236"/>
        <item x="842"/>
        <item x="424"/>
        <item x="642"/>
        <item x="159"/>
        <item x="338"/>
        <item x="664"/>
        <item x="562"/>
        <item x="448"/>
        <item x="6"/>
        <item x="563"/>
        <item x="521"/>
        <item x="254"/>
        <item x="119"/>
        <item x="634"/>
        <item x="23"/>
        <item x="672"/>
        <item x="353"/>
        <item x="426"/>
        <item x="49"/>
        <item x="422"/>
        <item x="348"/>
        <item x="819"/>
        <item x="266"/>
        <item x="693"/>
        <item x="229"/>
        <item x="618"/>
        <item x="471"/>
        <item x="336"/>
        <item x="681"/>
        <item x="561"/>
        <item x="202"/>
        <item x="691"/>
        <item x="100"/>
        <item x="666"/>
        <item x="439"/>
        <item x="848"/>
        <item x="515"/>
        <item x="5"/>
        <item x="806"/>
        <item x="334"/>
        <item x="883"/>
        <item x="488"/>
        <item x="307"/>
        <item x="435"/>
        <item x="608"/>
        <item x="163"/>
        <item x="145"/>
        <item x="644"/>
        <item x="149"/>
        <item x="306"/>
        <item x="721"/>
        <item x="372"/>
        <item x="350"/>
        <item x="381"/>
        <item x="405"/>
        <item x="269"/>
        <item x="517"/>
        <item x="354"/>
        <item x="34"/>
        <item x="887"/>
        <item x="872"/>
        <item x="708"/>
        <item x="291"/>
        <item x="552"/>
        <item x="474"/>
        <item x="600"/>
        <item x="884"/>
        <item x="686"/>
        <item x="180"/>
        <item x="814"/>
        <item x="411"/>
        <item x="538"/>
        <item x="633"/>
        <item x="154"/>
        <item x="559"/>
        <item x="237"/>
        <item x="771"/>
        <item x="761"/>
        <item x="472"/>
        <item x="679"/>
        <item x="262"/>
        <item x="575"/>
        <item x="303"/>
        <item x="747"/>
        <item x="160"/>
        <item x="365"/>
        <item x="179"/>
        <item x="619"/>
        <item x="800"/>
        <item x="243"/>
        <item x="283"/>
        <item x="478"/>
        <item x="823"/>
        <item x="745"/>
        <item x="473"/>
        <item x="88"/>
        <item x="240"/>
        <item x="623"/>
        <item x="404"/>
        <item x="888"/>
        <item x="762"/>
        <item x="635"/>
        <item x="650"/>
        <item x="436"/>
        <item x="407"/>
        <item x="652"/>
        <item x="710"/>
        <item x="522"/>
        <item x="238"/>
        <item x="8"/>
        <item x="219"/>
        <item x="309"/>
        <item x="323"/>
        <item x="228"/>
        <item x="804"/>
        <item x="449"/>
        <item x="656"/>
        <item x="501"/>
        <item x="846"/>
        <item x="42"/>
        <item x="767"/>
        <item x="69"/>
        <item x="339"/>
        <item x="302"/>
        <item x="612"/>
        <item x="513"/>
        <item x="839"/>
        <item x="764"/>
        <item x="863"/>
        <item x="194"/>
        <item x="822"/>
        <item x="406"/>
        <item x="142"/>
        <item x="10"/>
        <item x="43"/>
        <item x="841"/>
        <item x="754"/>
        <item x="670"/>
        <item x="56"/>
        <item x="73"/>
        <item x="482"/>
        <item x="555"/>
        <item x="1"/>
        <item x="536"/>
        <item x="355"/>
        <item x="643"/>
        <item x="577"/>
        <item x="805"/>
        <item x="726"/>
        <item x="785"/>
        <item x="537"/>
        <item x="213"/>
        <item x="718"/>
        <item x="610"/>
        <item x="484"/>
        <item x="832"/>
        <item x="275"/>
        <item x="714"/>
        <item x="319"/>
        <item x="410"/>
        <item x="248"/>
        <item x="831"/>
        <item x="166"/>
        <item x="168"/>
        <item x="321"/>
        <item x="187"/>
        <item x="277"/>
        <item x="583"/>
        <item x="79"/>
        <item x="763"/>
        <item x="64"/>
        <item x="190"/>
        <item x="358"/>
        <item x="232"/>
        <item x="281"/>
        <item x="52"/>
        <item x="508"/>
        <item x="453"/>
        <item x="389"/>
        <item x="284"/>
        <item x="433"/>
        <item x="808"/>
        <item x="468"/>
        <item x="877"/>
        <item x="455"/>
        <item x="485"/>
        <item x="496"/>
        <item x="356"/>
        <item x="669"/>
        <item x="865"/>
        <item x="244"/>
        <item x="595"/>
        <item x="775"/>
        <item x="781"/>
        <item x="756"/>
        <item x="502"/>
        <item x="603"/>
        <item x="261"/>
        <item x="511"/>
        <item x="704"/>
        <item x="462"/>
        <item x="59"/>
        <item x="530"/>
        <item x="18"/>
        <item x="66"/>
        <item x="748"/>
        <item x="61"/>
        <item x="135"/>
        <item x="739"/>
        <item x="263"/>
        <item x="191"/>
        <item x="794"/>
        <item x="305"/>
        <item x="581"/>
        <item x="753"/>
        <item x="420"/>
        <item x="645"/>
        <item x="849"/>
        <item x="594"/>
        <item x="611"/>
        <item x="470"/>
        <item x="509"/>
        <item x="780"/>
        <item x="460"/>
        <item x="519"/>
        <item x="371"/>
        <item x="299"/>
        <item x="491"/>
        <item x="773"/>
        <item x="553"/>
        <item x="723"/>
        <item x="50"/>
        <item x="609"/>
        <item x="247"/>
        <item x="357"/>
        <item x="742"/>
        <item x="467"/>
        <item x="630"/>
        <item x="587"/>
        <item x="766"/>
        <item x="91"/>
        <item x="788"/>
        <item x="505"/>
        <item x="542"/>
        <item x="82"/>
        <item x="574"/>
        <item x="133"/>
        <item x="774"/>
        <item x="792"/>
        <item x="592"/>
        <item x="423"/>
        <item x="676"/>
        <item x="795"/>
        <item x="768"/>
        <item x="720"/>
        <item x="83"/>
        <item x="820"/>
        <item x="375"/>
        <item x="731"/>
        <item x="464"/>
        <item x="882"/>
        <item x="129"/>
        <item x="525"/>
        <item x="461"/>
        <item x="743"/>
        <item x="317"/>
        <item x="242"/>
        <item x="812"/>
        <item x="568"/>
        <item x="665"/>
        <item x="388"/>
        <item x="139"/>
        <item x="432"/>
        <item x="550"/>
        <item x="382"/>
        <item x="880"/>
        <item x="741"/>
        <item x="843"/>
        <item x="579"/>
        <item x="326"/>
        <item x="598"/>
        <item x="554"/>
        <item x="30"/>
        <item x="494"/>
        <item x="256"/>
        <item x="343"/>
        <item x="380"/>
        <item x="128"/>
        <item x="253"/>
        <item x="177"/>
        <item x="19"/>
        <item x="99"/>
        <item x="578"/>
        <item x="682"/>
        <item x="40"/>
        <item x="662"/>
        <item x="885"/>
        <item x="776"/>
        <item x="173"/>
        <item x="487"/>
        <item x="833"/>
        <item x="300"/>
        <item x="329"/>
        <item x="703"/>
        <item x="567"/>
        <item x="402"/>
        <item x="694"/>
        <item x="701"/>
        <item x="259"/>
        <item x="68"/>
        <item x="700"/>
        <item x="41"/>
        <item x="658"/>
        <item x="132"/>
        <item x="324"/>
        <item x="463"/>
        <item x="394"/>
        <item x="152"/>
        <item x="169"/>
        <item x="335"/>
        <item x="639"/>
        <item x="893"/>
        <item x="824"/>
        <item x="790"/>
        <item x="450"/>
        <item x="589"/>
        <item x="689"/>
        <item x="663"/>
        <item x="706"/>
        <item x="711"/>
        <item x="33"/>
        <item x="777"/>
        <item x="492"/>
        <item x="164"/>
        <item x="717"/>
        <item x="46"/>
        <item x="476"/>
        <item x="20"/>
        <item x="246"/>
        <item x="282"/>
        <item x="834"/>
        <item x="516"/>
        <item x="715"/>
        <item x="155"/>
        <item x="21"/>
        <item x="864"/>
        <item x="479"/>
        <item x="873"/>
        <item x="387"/>
        <item x="362"/>
        <item x="65"/>
        <item x="838"/>
        <item x="390"/>
        <item x="368"/>
        <item x="428"/>
        <item x="744"/>
        <item x="527"/>
        <item x="35"/>
        <item x="207"/>
        <item x="234"/>
        <item x="162"/>
        <item x="713"/>
        <item x="290"/>
        <item x="273"/>
        <item x="861"/>
        <item x="233"/>
        <item x="223"/>
        <item x="622"/>
        <item x="137"/>
        <item x="859"/>
        <item x="322"/>
        <item x="655"/>
        <item x="111"/>
        <item x="733"/>
        <item x="647"/>
        <item x="827"/>
        <item x="582"/>
        <item x="646"/>
        <item x="507"/>
        <item x="114"/>
        <item x="360"/>
        <item x="184"/>
        <item x="549"/>
        <item x="728"/>
        <item x="197"/>
        <item x="85"/>
        <item x="104"/>
        <item x="181"/>
        <item x="890"/>
        <item x="506"/>
        <item x="71"/>
        <item x="271"/>
        <item x="199"/>
        <item x="53"/>
        <item x="821"/>
        <item x="359"/>
        <item x="39"/>
        <item x="454"/>
        <item x="570"/>
        <item x="556"/>
        <item x="22"/>
        <item x="231"/>
        <item x="660"/>
        <item x="110"/>
        <item x="725"/>
        <item x="330"/>
        <item x="220"/>
        <item x="844"/>
        <item x="607"/>
        <item x="480"/>
        <item x="120"/>
        <item x="444"/>
        <item x="657"/>
        <item x="384"/>
        <item x="628"/>
        <item x="267"/>
        <item x="245"/>
        <item x="222"/>
        <item x="146"/>
        <item x="862"/>
        <item x="117"/>
        <item x="235"/>
        <item x="585"/>
        <item x="76"/>
        <item x="687"/>
        <item x="131"/>
        <item x="188"/>
        <item x="437"/>
        <item x="782"/>
        <item x="779"/>
        <item x="586"/>
        <item x="447"/>
        <item x="697"/>
        <item x="344"/>
        <item x="147"/>
        <item x="730"/>
        <item x="369"/>
        <item x="876"/>
        <item x="451"/>
        <item x="230"/>
        <item x="787"/>
        <item x="345"/>
        <item x="638"/>
        <item x="811"/>
        <item x="716"/>
        <item x="606"/>
        <item x="383"/>
        <item x="486"/>
        <item x="534"/>
        <item x="289"/>
        <item x="241"/>
        <item x="786"/>
        <item x="818"/>
        <item x="2"/>
        <item x="427"/>
        <item x="791"/>
        <item x="347"/>
        <item x="272"/>
        <item x="458"/>
        <item x="826"/>
        <item x="106"/>
        <item x="722"/>
        <item x="837"/>
        <item x="870"/>
        <item x="280"/>
        <item x="817"/>
        <item x="196"/>
        <item x="84"/>
        <item x="631"/>
        <item x="677"/>
        <item x="851"/>
        <item x="886"/>
        <item x="346"/>
        <item x="572"/>
        <item x="503"/>
        <item x="295"/>
        <item x="684"/>
        <item x="328"/>
        <item x="136"/>
        <item x="641"/>
        <item x="749"/>
        <item x="112"/>
        <item x="755"/>
        <item x="835"/>
        <item x="386"/>
        <item x="54"/>
        <item x="108"/>
        <item x="523"/>
        <item x="853"/>
        <item x="469"/>
        <item x="32"/>
        <item x="569"/>
        <item x="44"/>
        <item x="208"/>
        <item x="604"/>
        <item x="7"/>
        <item x="719"/>
        <item x="734"/>
        <item x="87"/>
        <item x="109"/>
        <item x="566"/>
        <item x="514"/>
        <item x="881"/>
        <item x="255"/>
        <item x="813"/>
        <item x="268"/>
        <item x="560"/>
        <item x="74"/>
        <item x="483"/>
        <item x="38"/>
        <item x="510"/>
        <item x="543"/>
        <item x="249"/>
        <item x="225"/>
        <item x="617"/>
        <item x="856"/>
        <item x="456"/>
        <item x="752"/>
        <item x="205"/>
        <item x="293"/>
        <item x="399"/>
        <item x="564"/>
        <item x="352"/>
        <item x="115"/>
        <item x="376"/>
        <item x="391"/>
        <item x="182"/>
        <item x="529"/>
        <item x="332"/>
        <item x="605"/>
        <item x="683"/>
        <item x="203"/>
        <item x="671"/>
        <item x="3"/>
        <item x="685"/>
        <item x="621"/>
        <item x="597"/>
        <item x="565"/>
        <item x="143"/>
        <item x="47"/>
        <item x="452"/>
        <item x="12"/>
        <item x="378"/>
        <item x="772"/>
        <item x="866"/>
        <item x="416"/>
        <item x="489"/>
        <item x="176"/>
        <item x="367"/>
        <item x="500"/>
        <item x="130"/>
        <item x="425"/>
        <item x="167"/>
        <item x="265"/>
        <item x="678"/>
        <item x="316"/>
        <item x="668"/>
        <item x="829"/>
        <item x="325"/>
        <item x="60"/>
        <item x="431"/>
        <item x="429"/>
        <item x="531"/>
        <item x="374"/>
        <item x="221"/>
        <item x="729"/>
        <item x="92"/>
        <item x="735"/>
        <item x="847"/>
        <item x="45"/>
        <item x="81"/>
        <item x="370"/>
        <item x="366"/>
        <item x="4"/>
        <item x="465"/>
        <item x="799"/>
        <item x="535"/>
        <item x="571"/>
        <item x="727"/>
        <item x="70"/>
        <item x="769"/>
        <item x="379"/>
        <item x="495"/>
        <item x="413"/>
        <item x="364"/>
        <item x="602"/>
        <item x="97"/>
        <item x="396"/>
        <item x="63"/>
        <item x="58"/>
        <item x="457"/>
        <item x="90"/>
        <item x="518"/>
        <item x="279"/>
        <item x="418"/>
        <item x="512"/>
        <item x="737"/>
        <item x="770"/>
        <item x="298"/>
        <item x="377"/>
        <item x="62"/>
        <item x="175"/>
        <item x="239"/>
        <item x="351"/>
        <item x="67"/>
        <item x="55"/>
        <item x="751"/>
        <item x="341"/>
        <item x="113"/>
        <item x="276"/>
        <item x="539"/>
        <item x="215"/>
        <item x="651"/>
        <item x="320"/>
        <item x="296"/>
        <item x="852"/>
        <item x="48"/>
        <item x="105"/>
        <item x="533"/>
        <item x="373"/>
        <item x="340"/>
        <item x="153"/>
        <item x="77"/>
        <item x="593"/>
        <item x="709"/>
        <item x="466"/>
        <item x="803"/>
        <item x="504"/>
        <item x="158"/>
        <item x="25"/>
        <item x="96"/>
        <item x="828"/>
        <item x="398"/>
        <item x="613"/>
        <item x="540"/>
        <item x="626"/>
        <item x="620"/>
        <item x="421"/>
        <item x="195"/>
        <item x="648"/>
        <item x="836"/>
        <item x="680"/>
        <item x="217"/>
        <item x="189"/>
        <item x="123"/>
        <item x="498"/>
        <item x="211"/>
        <item x="11"/>
        <item x="408"/>
        <item x="499"/>
        <item x="250"/>
        <item x="214"/>
        <item x="287"/>
        <item x="172"/>
        <item x="649"/>
        <item x="746"/>
        <item x="675"/>
        <item x="532"/>
        <item x="625"/>
        <item x="740"/>
        <item x="736"/>
        <item x="616"/>
        <item x="783"/>
        <item x="397"/>
        <item x="596"/>
        <item x="588"/>
        <item x="385"/>
        <item x="138"/>
        <item x="24"/>
        <item x="156"/>
        <item x="601"/>
        <item x="26"/>
        <item x="430"/>
        <item x="409"/>
        <item x="599"/>
        <item x="414"/>
        <item x="412"/>
        <item x="417"/>
        <item x="304"/>
        <item x="584"/>
        <item x="891"/>
        <item x="318"/>
        <item x="807"/>
        <item x="134"/>
        <item x="27"/>
        <item x="558"/>
        <item x="75"/>
        <item x="308"/>
        <item x="258"/>
        <item x="29"/>
        <item x="127"/>
        <item x="653"/>
        <item x="13"/>
        <item x="57"/>
        <item x="692"/>
        <item x="89"/>
        <item x="798"/>
        <item x="809"/>
        <item x="93"/>
        <item x="270"/>
        <item x="349"/>
        <item x="274"/>
        <item x="226"/>
        <item x="673"/>
        <item x="171"/>
        <item x="400"/>
        <item x="445"/>
        <item x="493"/>
        <item x="874"/>
        <item x="816"/>
        <item x="854"/>
        <item x="750"/>
        <item x="446"/>
        <item x="705"/>
        <item x="401"/>
        <item x="636"/>
        <item x="224"/>
        <item x="37"/>
        <item x="475"/>
        <item x="51"/>
        <item x="459"/>
        <item x="699"/>
        <item x="102"/>
        <item x="297"/>
        <item x="796"/>
        <item x="868"/>
        <item x="310"/>
        <item x="702"/>
        <item x="174"/>
        <item x="778"/>
        <item x="696"/>
        <item x="178"/>
        <item x="524"/>
        <item x="212"/>
        <item x="198"/>
        <item x="759"/>
        <item x="632"/>
        <item x="802"/>
        <item x="28"/>
        <item x="757"/>
        <item x="547"/>
        <item x="260"/>
        <item x="541"/>
        <item x="148"/>
        <item x="363"/>
        <item x="640"/>
        <item x="251"/>
        <item x="576"/>
        <item x="36"/>
        <item x="122"/>
        <item x="72"/>
        <item x="125"/>
        <item x="765"/>
        <item x="879"/>
        <item x="442"/>
        <item x="548"/>
        <item x="333"/>
        <item x="674"/>
        <item x="840"/>
        <item x="707"/>
        <item x="393"/>
        <item x="875"/>
        <item x="337"/>
        <item x="252"/>
        <item x="392"/>
        <item x="314"/>
        <item x="858"/>
        <item x="86"/>
        <item x="141"/>
        <item x="278"/>
        <item x="712"/>
        <item x="443"/>
        <item x="629"/>
        <item x="395"/>
        <item x="889"/>
        <item x="784"/>
        <item x="441"/>
        <item x="315"/>
        <item t="default"/>
      </items>
    </pivotField>
    <pivotField showAll="0">
      <items count="58">
        <item x="45"/>
        <item x="50"/>
        <item x="54"/>
        <item x="30"/>
        <item x="49"/>
        <item x="47"/>
        <item x="39"/>
        <item x="31"/>
        <item x="40"/>
        <item x="33"/>
        <item x="35"/>
        <item x="42"/>
        <item x="51"/>
        <item x="32"/>
        <item x="44"/>
        <item x="48"/>
        <item x="53"/>
        <item x="56"/>
        <item x="41"/>
        <item x="52"/>
        <item x="55"/>
        <item x="46"/>
        <item x="37"/>
        <item x="28"/>
        <item x="36"/>
        <item x="15"/>
        <item x="22"/>
        <item x="43"/>
        <item x="27"/>
        <item x="25"/>
        <item x="9"/>
        <item x="29"/>
        <item x="38"/>
        <item x="18"/>
        <item x="34"/>
        <item x="16"/>
        <item x="26"/>
        <item x="12"/>
        <item x="10"/>
        <item x="24"/>
        <item x="13"/>
        <item x="8"/>
        <item x="17"/>
        <item x="20"/>
        <item x="0"/>
        <item x="19"/>
        <item x="6"/>
        <item x="1"/>
        <item x="23"/>
        <item x="2"/>
        <item x="7"/>
        <item x="11"/>
        <item x="3"/>
        <item x="5"/>
        <item x="14"/>
        <item x="4"/>
        <item x="21"/>
        <item t="default"/>
      </items>
    </pivotField>
    <pivotField axis="axisRow" showAll="0">
      <items count="6">
        <item x="1"/>
        <item x="0"/>
        <item x="2"/>
        <item x="3"/>
        <item x="4"/>
        <item t="default"/>
      </items>
    </pivotField>
    <pivotField showAll="0"/>
    <pivotField showAll="0"/>
    <pivotField showAll="0">
      <items count="151">
        <item x="7"/>
        <item x="11"/>
        <item x="4"/>
        <item x="6"/>
        <item x="1"/>
        <item x="39"/>
        <item x="42"/>
        <item x="120"/>
        <item x="79"/>
        <item x="17"/>
        <item x="33"/>
        <item x="74"/>
        <item x="54"/>
        <item x="64"/>
        <item x="2"/>
        <item x="133"/>
        <item x="49"/>
        <item x="124"/>
        <item x="88"/>
        <item x="41"/>
        <item x="145"/>
        <item x="127"/>
        <item x="130"/>
        <item x="81"/>
        <item x="72"/>
        <item x="138"/>
        <item x="125"/>
        <item x="114"/>
        <item x="67"/>
        <item x="87"/>
        <item x="131"/>
        <item x="118"/>
        <item x="40"/>
        <item x="32"/>
        <item x="9"/>
        <item x="44"/>
        <item x="93"/>
        <item x="20"/>
        <item x="52"/>
        <item x="68"/>
        <item x="129"/>
        <item x="35"/>
        <item x="51"/>
        <item x="117"/>
        <item x="139"/>
        <item x="96"/>
        <item x="115"/>
        <item x="104"/>
        <item x="59"/>
        <item x="82"/>
        <item x="136"/>
        <item x="147"/>
        <item x="10"/>
        <item x="83"/>
        <item x="22"/>
        <item x="55"/>
        <item x="46"/>
        <item x="135"/>
        <item x="66"/>
        <item x="19"/>
        <item x="56"/>
        <item x="62"/>
        <item x="8"/>
        <item x="84"/>
        <item x="92"/>
        <item x="25"/>
        <item x="75"/>
        <item x="105"/>
        <item x="102"/>
        <item x="0"/>
        <item x="108"/>
        <item x="116"/>
        <item x="103"/>
        <item x="78"/>
        <item x="45"/>
        <item x="98"/>
        <item x="109"/>
        <item x="63"/>
        <item x="107"/>
        <item x="24"/>
        <item x="99"/>
        <item x="60"/>
        <item x="91"/>
        <item x="137"/>
        <item x="100"/>
        <item x="77"/>
        <item x="113"/>
        <item x="121"/>
        <item x="111"/>
        <item x="48"/>
        <item x="119"/>
        <item x="21"/>
        <item x="134"/>
        <item x="86"/>
        <item x="128"/>
        <item x="70"/>
        <item x="94"/>
        <item x="73"/>
        <item x="122"/>
        <item x="47"/>
        <item x="85"/>
        <item x="36"/>
        <item x="110"/>
        <item x="61"/>
        <item x="27"/>
        <item x="101"/>
        <item x="23"/>
        <item x="38"/>
        <item x="89"/>
        <item x="76"/>
        <item x="3"/>
        <item x="5"/>
        <item x="18"/>
        <item x="37"/>
        <item x="126"/>
        <item x="13"/>
        <item x="28"/>
        <item x="12"/>
        <item x="29"/>
        <item x="16"/>
        <item x="144"/>
        <item x="146"/>
        <item x="97"/>
        <item x="14"/>
        <item x="90"/>
        <item x="50"/>
        <item x="149"/>
        <item x="141"/>
        <item x="148"/>
        <item x="58"/>
        <item x="26"/>
        <item x="123"/>
        <item x="43"/>
        <item x="112"/>
        <item x="65"/>
        <item x="69"/>
        <item x="57"/>
        <item x="142"/>
        <item x="132"/>
        <item x="106"/>
        <item x="80"/>
        <item x="140"/>
        <item x="71"/>
        <item x="31"/>
        <item x="143"/>
        <item x="15"/>
        <item x="30"/>
        <item x="53"/>
        <item x="95"/>
        <item x="34"/>
        <item t="default"/>
      </items>
    </pivotField>
    <pivotField showAll="0"/>
    <pivotField showAll="0"/>
    <pivotField showAll="0">
      <items count="181">
        <item x="123"/>
        <item x="137"/>
        <item x="139"/>
        <item x="52"/>
        <item x="51"/>
        <item x="169"/>
        <item x="77"/>
        <item x="138"/>
        <item x="97"/>
        <item x="71"/>
        <item x="46"/>
        <item x="14"/>
        <item x="150"/>
        <item x="22"/>
        <item x="153"/>
        <item x="148"/>
        <item x="130"/>
        <item x="144"/>
        <item x="126"/>
        <item x="136"/>
        <item x="62"/>
        <item x="174"/>
        <item x="159"/>
        <item x="166"/>
        <item x="107"/>
        <item x="86"/>
        <item x="87"/>
        <item x="41"/>
        <item x="157"/>
        <item x="120"/>
        <item x="78"/>
        <item x="99"/>
        <item x="149"/>
        <item x="151"/>
        <item x="109"/>
        <item x="172"/>
        <item x="2"/>
        <item x="127"/>
        <item x="93"/>
        <item x="17"/>
        <item x="24"/>
        <item x="177"/>
        <item x="63"/>
        <item x="42"/>
        <item x="68"/>
        <item x="88"/>
        <item x="33"/>
        <item x="38"/>
        <item x="92"/>
        <item x="101"/>
        <item x="75"/>
        <item x="13"/>
        <item x="160"/>
        <item x="170"/>
        <item x="43"/>
        <item x="56"/>
        <item x="18"/>
        <item x="110"/>
        <item x="21"/>
        <item x="36"/>
        <item x="32"/>
        <item x="155"/>
        <item x="29"/>
        <item x="104"/>
        <item x="9"/>
        <item x="20"/>
        <item x="19"/>
        <item x="8"/>
        <item x="12"/>
        <item x="171"/>
        <item x="125"/>
        <item x="25"/>
        <item x="91"/>
        <item x="30"/>
        <item x="145"/>
        <item x="79"/>
        <item x="60"/>
        <item x="10"/>
        <item x="76"/>
        <item x="179"/>
        <item x="31"/>
        <item x="74"/>
        <item x="163"/>
        <item x="129"/>
        <item x="98"/>
        <item x="84"/>
        <item x="57"/>
        <item x="65"/>
        <item x="134"/>
        <item x="59"/>
        <item x="1"/>
        <item x="47"/>
        <item x="154"/>
        <item x="173"/>
        <item x="50"/>
        <item x="142"/>
        <item x="156"/>
        <item x="6"/>
        <item x="111"/>
        <item x="90"/>
        <item x="44"/>
        <item x="73"/>
        <item x="124"/>
        <item x="4"/>
        <item x="55"/>
        <item x="132"/>
        <item x="40"/>
        <item x="168"/>
        <item x="133"/>
        <item x="165"/>
        <item x="48"/>
        <item x="116"/>
        <item x="102"/>
        <item x="162"/>
        <item x="113"/>
        <item x="69"/>
        <item x="58"/>
        <item x="37"/>
        <item x="26"/>
        <item x="117"/>
        <item x="141"/>
        <item x="152"/>
        <item x="35"/>
        <item x="28"/>
        <item x="100"/>
        <item x="131"/>
        <item x="176"/>
        <item x="115"/>
        <item x="0"/>
        <item x="103"/>
        <item x="16"/>
        <item x="5"/>
        <item x="94"/>
        <item x="7"/>
        <item x="66"/>
        <item x="89"/>
        <item x="143"/>
        <item x="83"/>
        <item x="39"/>
        <item x="53"/>
        <item x="119"/>
        <item x="135"/>
        <item x="108"/>
        <item x="175"/>
        <item x="121"/>
        <item x="49"/>
        <item x="81"/>
        <item x="23"/>
        <item x="27"/>
        <item x="34"/>
        <item x="82"/>
        <item x="54"/>
        <item x="95"/>
        <item x="112"/>
        <item x="61"/>
        <item x="3"/>
        <item x="45"/>
        <item x="96"/>
        <item x="64"/>
        <item x="114"/>
        <item x="146"/>
        <item x="85"/>
        <item x="15"/>
        <item x="70"/>
        <item x="161"/>
        <item x="158"/>
        <item x="105"/>
        <item x="67"/>
        <item x="118"/>
        <item x="106"/>
        <item x="128"/>
        <item x="11"/>
        <item x="147"/>
        <item x="164"/>
        <item x="72"/>
        <item x="167"/>
        <item x="122"/>
        <item x="140"/>
        <item x="178"/>
        <item x="80"/>
        <item t="default"/>
      </items>
    </pivotField>
  </pivotFields>
  <rowFields count="1">
    <field x="2"/>
  </rowFields>
  <rowItems count="6">
    <i>
      <x/>
    </i>
    <i>
      <x v="1"/>
    </i>
    <i>
      <x v="2"/>
    </i>
    <i>
      <x v="3"/>
    </i>
    <i>
      <x v="4"/>
    </i>
    <i t="grand">
      <x/>
    </i>
  </rowItems>
  <colItems count="1">
    <i/>
  </colItems>
  <dataFields count="1">
    <dataField name="Count of Series Title" fld="0"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1DE15E-7AF4-42C0-BBA8-D720CDD4357C}"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61" firstHeaderRow="1" firstDataRow="1" firstDataCol="1"/>
  <pivotFields count="9">
    <pivotField dataField="1" showAll="0">
      <items count="895">
        <item x="624"/>
        <item x="121"/>
        <item x="186"/>
        <item x="285"/>
        <item x="288"/>
        <item x="157"/>
        <item x="810"/>
        <item x="292"/>
        <item x="695"/>
        <item x="627"/>
        <item x="825"/>
        <item x="615"/>
        <item x="801"/>
        <item x="94"/>
        <item x="201"/>
        <item x="637"/>
        <item x="481"/>
        <item x="850"/>
        <item x="869"/>
        <item x="286"/>
        <item x="313"/>
        <item x="867"/>
        <item x="477"/>
        <item x="789"/>
        <item x="845"/>
        <item x="165"/>
        <item x="690"/>
        <item x="101"/>
        <item x="438"/>
        <item x="311"/>
        <item x="183"/>
        <item x="342"/>
        <item x="520"/>
        <item x="294"/>
        <item x="614"/>
        <item x="557"/>
        <item x="257"/>
        <item x="758"/>
        <item x="78"/>
        <item x="80"/>
        <item x="118"/>
        <item x="193"/>
        <item x="150"/>
        <item x="15"/>
        <item x="200"/>
        <item x="9"/>
        <item x="892"/>
        <item x="546"/>
        <item x="419"/>
        <item x="738"/>
        <item x="878"/>
        <item x="688"/>
        <item x="580"/>
        <item x="830"/>
        <item x="17"/>
        <item x="206"/>
        <item x="170"/>
        <item x="857"/>
        <item x="151"/>
        <item x="573"/>
        <item x="490"/>
        <item x="107"/>
        <item x="209"/>
        <item x="871"/>
        <item x="551"/>
        <item x="855"/>
        <item x="14"/>
        <item x="497"/>
        <item x="732"/>
        <item x="590"/>
        <item x="793"/>
        <item x="98"/>
        <item x="216"/>
        <item x="126"/>
        <item x="204"/>
        <item x="760"/>
        <item x="591"/>
        <item x="16"/>
        <item x="210"/>
        <item x="797"/>
        <item x="654"/>
        <item x="434"/>
        <item x="661"/>
        <item x="415"/>
        <item x="312"/>
        <item x="545"/>
        <item x="440"/>
        <item x="103"/>
        <item x="161"/>
        <item x="140"/>
        <item x="95"/>
        <item x="192"/>
        <item x="724"/>
        <item x="301"/>
        <item x="144"/>
        <item x="544"/>
        <item x="264"/>
        <item x="860"/>
        <item x="528"/>
        <item x="0"/>
        <item x="331"/>
        <item x="116"/>
        <item x="667"/>
        <item x="31"/>
        <item x="124"/>
        <item x="698"/>
        <item x="218"/>
        <item x="227"/>
        <item x="403"/>
        <item x="659"/>
        <item x="327"/>
        <item x="815"/>
        <item x="526"/>
        <item x="185"/>
        <item x="361"/>
        <item x="236"/>
        <item x="842"/>
        <item x="424"/>
        <item x="642"/>
        <item x="159"/>
        <item x="338"/>
        <item x="664"/>
        <item x="562"/>
        <item x="448"/>
        <item x="6"/>
        <item x="563"/>
        <item x="521"/>
        <item x="254"/>
        <item x="119"/>
        <item x="634"/>
        <item x="23"/>
        <item x="672"/>
        <item x="353"/>
        <item x="426"/>
        <item x="49"/>
        <item x="422"/>
        <item x="348"/>
        <item x="819"/>
        <item x="266"/>
        <item x="693"/>
        <item x="229"/>
        <item x="618"/>
        <item x="471"/>
        <item x="336"/>
        <item x="681"/>
        <item x="561"/>
        <item x="202"/>
        <item x="691"/>
        <item x="100"/>
        <item x="666"/>
        <item x="439"/>
        <item x="848"/>
        <item x="515"/>
        <item x="5"/>
        <item x="806"/>
        <item x="334"/>
        <item x="883"/>
        <item x="488"/>
        <item x="307"/>
        <item x="435"/>
        <item x="608"/>
        <item x="163"/>
        <item x="145"/>
        <item x="644"/>
        <item x="149"/>
        <item x="306"/>
        <item x="721"/>
        <item x="372"/>
        <item x="350"/>
        <item x="381"/>
        <item x="405"/>
        <item x="269"/>
        <item x="517"/>
        <item x="354"/>
        <item x="34"/>
        <item x="887"/>
        <item x="872"/>
        <item x="708"/>
        <item x="291"/>
        <item x="552"/>
        <item x="474"/>
        <item x="600"/>
        <item x="884"/>
        <item x="686"/>
        <item x="180"/>
        <item x="814"/>
        <item x="411"/>
        <item x="538"/>
        <item x="633"/>
        <item x="154"/>
        <item x="559"/>
        <item x="237"/>
        <item x="771"/>
        <item x="761"/>
        <item x="472"/>
        <item x="679"/>
        <item x="262"/>
        <item x="575"/>
        <item x="303"/>
        <item x="747"/>
        <item x="160"/>
        <item x="365"/>
        <item x="179"/>
        <item x="619"/>
        <item x="800"/>
        <item x="243"/>
        <item x="283"/>
        <item x="478"/>
        <item x="823"/>
        <item x="745"/>
        <item x="473"/>
        <item x="88"/>
        <item x="240"/>
        <item x="623"/>
        <item x="404"/>
        <item x="888"/>
        <item x="762"/>
        <item x="635"/>
        <item x="650"/>
        <item x="436"/>
        <item x="407"/>
        <item x="652"/>
        <item x="710"/>
        <item x="522"/>
        <item x="238"/>
        <item x="8"/>
        <item x="219"/>
        <item x="309"/>
        <item x="323"/>
        <item x="228"/>
        <item x="804"/>
        <item x="449"/>
        <item x="656"/>
        <item x="501"/>
        <item x="846"/>
        <item x="42"/>
        <item x="767"/>
        <item x="69"/>
        <item x="339"/>
        <item x="302"/>
        <item x="612"/>
        <item x="513"/>
        <item x="839"/>
        <item x="764"/>
        <item x="863"/>
        <item x="194"/>
        <item x="822"/>
        <item x="406"/>
        <item x="142"/>
        <item x="10"/>
        <item x="43"/>
        <item x="841"/>
        <item x="754"/>
        <item x="670"/>
        <item x="56"/>
        <item x="73"/>
        <item x="482"/>
        <item x="555"/>
        <item x="1"/>
        <item x="536"/>
        <item x="355"/>
        <item x="643"/>
        <item x="577"/>
        <item x="805"/>
        <item x="726"/>
        <item x="785"/>
        <item x="537"/>
        <item x="213"/>
        <item x="718"/>
        <item x="610"/>
        <item x="484"/>
        <item x="832"/>
        <item x="275"/>
        <item x="714"/>
        <item x="319"/>
        <item x="410"/>
        <item x="248"/>
        <item x="831"/>
        <item x="166"/>
        <item x="168"/>
        <item x="321"/>
        <item x="187"/>
        <item x="277"/>
        <item x="583"/>
        <item x="79"/>
        <item x="763"/>
        <item x="64"/>
        <item x="190"/>
        <item x="358"/>
        <item x="232"/>
        <item x="281"/>
        <item x="52"/>
        <item x="508"/>
        <item x="453"/>
        <item x="389"/>
        <item x="284"/>
        <item x="433"/>
        <item x="808"/>
        <item x="468"/>
        <item x="877"/>
        <item x="455"/>
        <item x="485"/>
        <item x="496"/>
        <item x="356"/>
        <item x="669"/>
        <item x="865"/>
        <item x="244"/>
        <item x="595"/>
        <item x="775"/>
        <item x="781"/>
        <item x="756"/>
        <item x="502"/>
        <item x="603"/>
        <item x="261"/>
        <item x="511"/>
        <item x="704"/>
        <item x="462"/>
        <item x="59"/>
        <item x="530"/>
        <item x="18"/>
        <item x="66"/>
        <item x="748"/>
        <item x="61"/>
        <item x="135"/>
        <item x="739"/>
        <item x="263"/>
        <item x="191"/>
        <item x="794"/>
        <item x="305"/>
        <item x="581"/>
        <item x="753"/>
        <item x="420"/>
        <item x="645"/>
        <item x="849"/>
        <item x="594"/>
        <item x="611"/>
        <item x="470"/>
        <item x="509"/>
        <item x="780"/>
        <item x="460"/>
        <item x="519"/>
        <item x="371"/>
        <item x="299"/>
        <item x="491"/>
        <item x="773"/>
        <item x="553"/>
        <item x="723"/>
        <item x="50"/>
        <item x="609"/>
        <item x="247"/>
        <item x="357"/>
        <item x="742"/>
        <item x="467"/>
        <item x="630"/>
        <item x="587"/>
        <item x="766"/>
        <item x="91"/>
        <item x="788"/>
        <item x="505"/>
        <item x="542"/>
        <item x="82"/>
        <item x="574"/>
        <item x="133"/>
        <item x="774"/>
        <item x="792"/>
        <item x="592"/>
        <item x="423"/>
        <item x="676"/>
        <item x="795"/>
        <item x="768"/>
        <item x="720"/>
        <item x="83"/>
        <item x="820"/>
        <item x="375"/>
        <item x="731"/>
        <item x="464"/>
        <item x="882"/>
        <item x="129"/>
        <item x="525"/>
        <item x="461"/>
        <item x="743"/>
        <item x="317"/>
        <item x="242"/>
        <item x="812"/>
        <item x="568"/>
        <item x="665"/>
        <item x="388"/>
        <item x="139"/>
        <item x="432"/>
        <item x="550"/>
        <item x="382"/>
        <item x="880"/>
        <item x="741"/>
        <item x="843"/>
        <item x="579"/>
        <item x="326"/>
        <item x="598"/>
        <item x="554"/>
        <item x="30"/>
        <item x="494"/>
        <item x="256"/>
        <item x="343"/>
        <item x="380"/>
        <item x="128"/>
        <item x="253"/>
        <item x="177"/>
        <item x="19"/>
        <item x="99"/>
        <item x="578"/>
        <item x="682"/>
        <item x="40"/>
        <item x="662"/>
        <item x="885"/>
        <item x="776"/>
        <item x="173"/>
        <item x="487"/>
        <item x="833"/>
        <item x="300"/>
        <item x="329"/>
        <item x="703"/>
        <item x="567"/>
        <item x="402"/>
        <item x="694"/>
        <item x="701"/>
        <item x="259"/>
        <item x="68"/>
        <item x="700"/>
        <item x="41"/>
        <item x="658"/>
        <item x="132"/>
        <item x="324"/>
        <item x="463"/>
        <item x="394"/>
        <item x="152"/>
        <item x="169"/>
        <item x="335"/>
        <item x="639"/>
        <item x="893"/>
        <item x="824"/>
        <item x="790"/>
        <item x="450"/>
        <item x="589"/>
        <item x="689"/>
        <item x="663"/>
        <item x="706"/>
        <item x="711"/>
        <item x="33"/>
        <item x="777"/>
        <item x="492"/>
        <item x="164"/>
        <item x="717"/>
        <item x="46"/>
        <item x="476"/>
        <item x="20"/>
        <item x="246"/>
        <item x="282"/>
        <item x="834"/>
        <item x="516"/>
        <item x="715"/>
        <item x="155"/>
        <item x="21"/>
        <item x="864"/>
        <item x="479"/>
        <item x="873"/>
        <item x="387"/>
        <item x="362"/>
        <item x="65"/>
        <item x="838"/>
        <item x="390"/>
        <item x="368"/>
        <item x="428"/>
        <item x="744"/>
        <item x="527"/>
        <item x="35"/>
        <item x="207"/>
        <item x="234"/>
        <item x="162"/>
        <item x="713"/>
        <item x="290"/>
        <item x="273"/>
        <item x="861"/>
        <item x="233"/>
        <item x="223"/>
        <item x="622"/>
        <item x="137"/>
        <item x="859"/>
        <item x="322"/>
        <item x="655"/>
        <item x="111"/>
        <item x="733"/>
        <item x="647"/>
        <item x="827"/>
        <item x="582"/>
        <item x="646"/>
        <item x="507"/>
        <item x="114"/>
        <item x="360"/>
        <item x="184"/>
        <item x="549"/>
        <item x="728"/>
        <item x="197"/>
        <item x="85"/>
        <item x="104"/>
        <item x="181"/>
        <item x="890"/>
        <item x="506"/>
        <item x="71"/>
        <item x="271"/>
        <item x="199"/>
        <item x="53"/>
        <item x="821"/>
        <item x="359"/>
        <item x="39"/>
        <item x="454"/>
        <item x="570"/>
        <item x="556"/>
        <item x="22"/>
        <item x="231"/>
        <item x="660"/>
        <item x="110"/>
        <item x="725"/>
        <item x="330"/>
        <item x="220"/>
        <item x="844"/>
        <item x="607"/>
        <item x="480"/>
        <item x="120"/>
        <item x="444"/>
        <item x="657"/>
        <item x="384"/>
        <item x="628"/>
        <item x="267"/>
        <item x="245"/>
        <item x="222"/>
        <item x="146"/>
        <item x="862"/>
        <item x="117"/>
        <item x="235"/>
        <item x="585"/>
        <item x="76"/>
        <item x="687"/>
        <item x="131"/>
        <item x="188"/>
        <item x="437"/>
        <item x="782"/>
        <item x="779"/>
        <item x="586"/>
        <item x="447"/>
        <item x="697"/>
        <item x="344"/>
        <item x="147"/>
        <item x="730"/>
        <item x="369"/>
        <item x="876"/>
        <item x="451"/>
        <item x="230"/>
        <item x="787"/>
        <item x="345"/>
        <item x="638"/>
        <item x="811"/>
        <item x="716"/>
        <item x="606"/>
        <item x="383"/>
        <item x="486"/>
        <item x="534"/>
        <item x="289"/>
        <item x="241"/>
        <item x="786"/>
        <item x="818"/>
        <item x="2"/>
        <item x="427"/>
        <item x="791"/>
        <item x="347"/>
        <item x="272"/>
        <item x="458"/>
        <item x="826"/>
        <item x="106"/>
        <item x="722"/>
        <item x="837"/>
        <item x="870"/>
        <item x="280"/>
        <item x="817"/>
        <item x="196"/>
        <item x="84"/>
        <item x="631"/>
        <item x="677"/>
        <item x="851"/>
        <item x="886"/>
        <item x="346"/>
        <item x="572"/>
        <item x="503"/>
        <item x="295"/>
        <item x="684"/>
        <item x="328"/>
        <item x="136"/>
        <item x="641"/>
        <item x="749"/>
        <item x="112"/>
        <item x="755"/>
        <item x="835"/>
        <item x="386"/>
        <item x="54"/>
        <item x="108"/>
        <item x="523"/>
        <item x="853"/>
        <item x="469"/>
        <item x="32"/>
        <item x="569"/>
        <item x="44"/>
        <item x="208"/>
        <item x="604"/>
        <item x="7"/>
        <item x="719"/>
        <item x="734"/>
        <item x="87"/>
        <item x="109"/>
        <item x="566"/>
        <item x="514"/>
        <item x="881"/>
        <item x="255"/>
        <item x="813"/>
        <item x="268"/>
        <item x="560"/>
        <item x="74"/>
        <item x="483"/>
        <item x="38"/>
        <item x="510"/>
        <item x="543"/>
        <item x="249"/>
        <item x="225"/>
        <item x="617"/>
        <item x="856"/>
        <item x="456"/>
        <item x="752"/>
        <item x="205"/>
        <item x="293"/>
        <item x="399"/>
        <item x="564"/>
        <item x="352"/>
        <item x="115"/>
        <item x="376"/>
        <item x="391"/>
        <item x="182"/>
        <item x="529"/>
        <item x="332"/>
        <item x="605"/>
        <item x="683"/>
        <item x="203"/>
        <item x="671"/>
        <item x="3"/>
        <item x="685"/>
        <item x="621"/>
        <item x="597"/>
        <item x="565"/>
        <item x="143"/>
        <item x="47"/>
        <item x="452"/>
        <item x="12"/>
        <item x="378"/>
        <item x="772"/>
        <item x="866"/>
        <item x="416"/>
        <item x="489"/>
        <item x="176"/>
        <item x="367"/>
        <item x="500"/>
        <item x="130"/>
        <item x="425"/>
        <item x="167"/>
        <item x="265"/>
        <item x="678"/>
        <item x="316"/>
        <item x="668"/>
        <item x="829"/>
        <item x="325"/>
        <item x="60"/>
        <item x="431"/>
        <item x="429"/>
        <item x="531"/>
        <item x="374"/>
        <item x="221"/>
        <item x="729"/>
        <item x="92"/>
        <item x="735"/>
        <item x="847"/>
        <item x="45"/>
        <item x="81"/>
        <item x="370"/>
        <item x="366"/>
        <item x="4"/>
        <item x="465"/>
        <item x="799"/>
        <item x="535"/>
        <item x="571"/>
        <item x="727"/>
        <item x="70"/>
        <item x="769"/>
        <item x="379"/>
        <item x="495"/>
        <item x="413"/>
        <item x="364"/>
        <item x="602"/>
        <item x="97"/>
        <item x="396"/>
        <item x="63"/>
        <item x="58"/>
        <item x="457"/>
        <item x="90"/>
        <item x="518"/>
        <item x="279"/>
        <item x="418"/>
        <item x="512"/>
        <item x="737"/>
        <item x="770"/>
        <item x="298"/>
        <item x="377"/>
        <item x="62"/>
        <item x="175"/>
        <item x="239"/>
        <item x="351"/>
        <item x="67"/>
        <item x="55"/>
        <item x="751"/>
        <item x="341"/>
        <item x="113"/>
        <item x="276"/>
        <item x="539"/>
        <item x="215"/>
        <item x="651"/>
        <item x="320"/>
        <item x="296"/>
        <item x="852"/>
        <item x="48"/>
        <item x="105"/>
        <item x="533"/>
        <item x="373"/>
        <item x="340"/>
        <item x="153"/>
        <item x="77"/>
        <item x="593"/>
        <item x="709"/>
        <item x="466"/>
        <item x="803"/>
        <item x="504"/>
        <item x="158"/>
        <item x="25"/>
        <item x="96"/>
        <item x="828"/>
        <item x="398"/>
        <item x="613"/>
        <item x="540"/>
        <item x="626"/>
        <item x="620"/>
        <item x="421"/>
        <item x="195"/>
        <item x="648"/>
        <item x="836"/>
        <item x="680"/>
        <item x="217"/>
        <item x="189"/>
        <item x="123"/>
        <item x="498"/>
        <item x="211"/>
        <item x="11"/>
        <item x="408"/>
        <item x="499"/>
        <item x="250"/>
        <item x="214"/>
        <item x="287"/>
        <item x="172"/>
        <item x="649"/>
        <item x="746"/>
        <item x="675"/>
        <item x="532"/>
        <item x="625"/>
        <item x="740"/>
        <item x="736"/>
        <item x="616"/>
        <item x="783"/>
        <item x="397"/>
        <item x="596"/>
        <item x="588"/>
        <item x="385"/>
        <item x="138"/>
        <item x="24"/>
        <item x="156"/>
        <item x="601"/>
        <item x="26"/>
        <item x="430"/>
        <item x="409"/>
        <item x="599"/>
        <item x="414"/>
        <item x="412"/>
        <item x="417"/>
        <item x="304"/>
        <item x="584"/>
        <item x="891"/>
        <item x="318"/>
        <item x="807"/>
        <item x="134"/>
        <item x="27"/>
        <item x="558"/>
        <item x="75"/>
        <item x="308"/>
        <item x="258"/>
        <item x="29"/>
        <item x="127"/>
        <item x="653"/>
        <item x="13"/>
        <item x="57"/>
        <item x="692"/>
        <item x="89"/>
        <item x="798"/>
        <item x="809"/>
        <item x="93"/>
        <item x="270"/>
        <item x="349"/>
        <item x="274"/>
        <item x="226"/>
        <item x="673"/>
        <item x="171"/>
        <item x="400"/>
        <item x="445"/>
        <item x="493"/>
        <item x="874"/>
        <item x="816"/>
        <item x="854"/>
        <item x="750"/>
        <item x="446"/>
        <item x="705"/>
        <item x="401"/>
        <item x="636"/>
        <item x="224"/>
        <item x="37"/>
        <item x="475"/>
        <item x="51"/>
        <item x="459"/>
        <item x="699"/>
        <item x="102"/>
        <item x="297"/>
        <item x="796"/>
        <item x="868"/>
        <item x="310"/>
        <item x="702"/>
        <item x="174"/>
        <item x="778"/>
        <item x="696"/>
        <item x="178"/>
        <item x="524"/>
        <item x="212"/>
        <item x="198"/>
        <item x="759"/>
        <item x="632"/>
        <item x="802"/>
        <item x="28"/>
        <item x="757"/>
        <item x="547"/>
        <item x="260"/>
        <item x="541"/>
        <item x="148"/>
        <item x="363"/>
        <item x="640"/>
        <item x="251"/>
        <item x="576"/>
        <item x="36"/>
        <item x="122"/>
        <item x="72"/>
        <item x="125"/>
        <item x="765"/>
        <item x="879"/>
        <item x="442"/>
        <item x="548"/>
        <item x="333"/>
        <item x="674"/>
        <item x="840"/>
        <item x="707"/>
        <item x="393"/>
        <item x="875"/>
        <item x="337"/>
        <item x="252"/>
        <item x="392"/>
        <item x="314"/>
        <item x="858"/>
        <item x="86"/>
        <item x="141"/>
        <item x="278"/>
        <item x="712"/>
        <item x="443"/>
        <item x="629"/>
        <item x="395"/>
        <item x="889"/>
        <item x="784"/>
        <item x="441"/>
        <item x="315"/>
        <item t="default"/>
      </items>
    </pivotField>
    <pivotField axis="axisRow" showAll="0">
      <items count="58">
        <item x="45"/>
        <item x="50"/>
        <item x="54"/>
        <item x="30"/>
        <item x="49"/>
        <item x="47"/>
        <item x="39"/>
        <item x="31"/>
        <item x="40"/>
        <item x="33"/>
        <item x="35"/>
        <item x="42"/>
        <item x="51"/>
        <item x="32"/>
        <item x="44"/>
        <item x="48"/>
        <item x="53"/>
        <item x="56"/>
        <item x="41"/>
        <item x="52"/>
        <item x="55"/>
        <item x="46"/>
        <item x="37"/>
        <item x="28"/>
        <item x="36"/>
        <item x="15"/>
        <item x="22"/>
        <item x="43"/>
        <item x="27"/>
        <item x="25"/>
        <item x="9"/>
        <item x="29"/>
        <item x="38"/>
        <item x="18"/>
        <item x="34"/>
        <item x="16"/>
        <item x="26"/>
        <item x="12"/>
        <item x="10"/>
        <item x="24"/>
        <item x="13"/>
        <item x="8"/>
        <item x="17"/>
        <item x="20"/>
        <item x="0"/>
        <item x="19"/>
        <item x="6"/>
        <item x="1"/>
        <item x="23"/>
        <item x="2"/>
        <item x="7"/>
        <item x="11"/>
        <item x="3"/>
        <item x="5"/>
        <item x="14"/>
        <item x="4"/>
        <item x="21"/>
        <item t="default"/>
      </items>
    </pivotField>
    <pivotField showAll="0">
      <items count="6">
        <item x="1"/>
        <item x="0"/>
        <item x="2"/>
        <item x="3"/>
        <item x="4"/>
        <item t="default"/>
      </items>
    </pivotField>
    <pivotField showAll="0"/>
    <pivotField showAll="0"/>
    <pivotField showAll="0">
      <items count="151">
        <item x="7"/>
        <item x="11"/>
        <item x="4"/>
        <item x="6"/>
        <item x="1"/>
        <item x="39"/>
        <item x="42"/>
        <item x="120"/>
        <item x="79"/>
        <item x="17"/>
        <item x="33"/>
        <item x="74"/>
        <item x="54"/>
        <item x="64"/>
        <item x="2"/>
        <item x="133"/>
        <item x="49"/>
        <item x="124"/>
        <item x="88"/>
        <item x="41"/>
        <item x="145"/>
        <item x="127"/>
        <item x="130"/>
        <item x="81"/>
        <item x="72"/>
        <item x="138"/>
        <item x="125"/>
        <item x="114"/>
        <item x="67"/>
        <item x="87"/>
        <item x="131"/>
        <item x="118"/>
        <item x="40"/>
        <item x="32"/>
        <item x="9"/>
        <item x="44"/>
        <item x="93"/>
        <item x="20"/>
        <item x="52"/>
        <item x="68"/>
        <item x="129"/>
        <item x="35"/>
        <item x="51"/>
        <item x="117"/>
        <item x="139"/>
        <item x="96"/>
        <item x="115"/>
        <item x="104"/>
        <item x="59"/>
        <item x="82"/>
        <item x="136"/>
        <item x="147"/>
        <item x="10"/>
        <item x="83"/>
        <item x="22"/>
        <item x="55"/>
        <item x="46"/>
        <item x="135"/>
        <item x="66"/>
        <item x="19"/>
        <item x="56"/>
        <item x="62"/>
        <item x="8"/>
        <item x="84"/>
        <item x="92"/>
        <item x="25"/>
        <item x="75"/>
        <item x="105"/>
        <item x="102"/>
        <item x="0"/>
        <item x="108"/>
        <item x="116"/>
        <item x="103"/>
        <item x="78"/>
        <item x="45"/>
        <item x="98"/>
        <item x="109"/>
        <item x="63"/>
        <item x="107"/>
        <item x="24"/>
        <item x="99"/>
        <item x="60"/>
        <item x="91"/>
        <item x="137"/>
        <item x="100"/>
        <item x="77"/>
        <item x="113"/>
        <item x="121"/>
        <item x="111"/>
        <item x="48"/>
        <item x="119"/>
        <item x="21"/>
        <item x="134"/>
        <item x="86"/>
        <item x="128"/>
        <item x="70"/>
        <item x="94"/>
        <item x="73"/>
        <item x="122"/>
        <item x="47"/>
        <item x="85"/>
        <item x="36"/>
        <item x="110"/>
        <item x="61"/>
        <item x="27"/>
        <item x="101"/>
        <item x="23"/>
        <item x="38"/>
        <item x="89"/>
        <item x="76"/>
        <item x="3"/>
        <item x="5"/>
        <item x="18"/>
        <item x="37"/>
        <item x="126"/>
        <item x="13"/>
        <item x="28"/>
        <item x="12"/>
        <item x="29"/>
        <item x="16"/>
        <item x="144"/>
        <item x="146"/>
        <item x="97"/>
        <item x="14"/>
        <item x="90"/>
        <item x="50"/>
        <item x="149"/>
        <item x="141"/>
        <item x="148"/>
        <item x="58"/>
        <item x="26"/>
        <item x="123"/>
        <item x="43"/>
        <item x="112"/>
        <item x="65"/>
        <item x="69"/>
        <item x="57"/>
        <item x="142"/>
        <item x="132"/>
        <item x="106"/>
        <item x="80"/>
        <item x="140"/>
        <item x="71"/>
        <item x="31"/>
        <item x="143"/>
        <item x="15"/>
        <item x="30"/>
        <item x="53"/>
        <item x="95"/>
        <item x="34"/>
        <item t="default"/>
      </items>
    </pivotField>
    <pivotField showAll="0"/>
    <pivotField showAll="0"/>
    <pivotField showAll="0">
      <items count="181">
        <item x="123"/>
        <item x="137"/>
        <item x="139"/>
        <item x="52"/>
        <item x="51"/>
        <item x="169"/>
        <item x="77"/>
        <item x="138"/>
        <item x="97"/>
        <item x="71"/>
        <item x="46"/>
        <item x="14"/>
        <item x="150"/>
        <item x="22"/>
        <item x="153"/>
        <item x="148"/>
        <item x="130"/>
        <item x="144"/>
        <item x="126"/>
        <item x="136"/>
        <item x="62"/>
        <item x="174"/>
        <item x="159"/>
        <item x="166"/>
        <item x="107"/>
        <item x="86"/>
        <item x="87"/>
        <item x="41"/>
        <item x="157"/>
        <item x="120"/>
        <item x="78"/>
        <item x="99"/>
        <item x="149"/>
        <item x="151"/>
        <item x="109"/>
        <item x="172"/>
        <item x="2"/>
        <item x="127"/>
        <item x="93"/>
        <item x="17"/>
        <item x="24"/>
        <item x="177"/>
        <item x="63"/>
        <item x="42"/>
        <item x="68"/>
        <item x="88"/>
        <item x="33"/>
        <item x="38"/>
        <item x="92"/>
        <item x="101"/>
        <item x="75"/>
        <item x="13"/>
        <item x="160"/>
        <item x="170"/>
        <item x="43"/>
        <item x="56"/>
        <item x="18"/>
        <item x="110"/>
        <item x="21"/>
        <item x="36"/>
        <item x="32"/>
        <item x="155"/>
        <item x="29"/>
        <item x="104"/>
        <item x="9"/>
        <item x="20"/>
        <item x="19"/>
        <item x="8"/>
        <item x="12"/>
        <item x="171"/>
        <item x="125"/>
        <item x="25"/>
        <item x="91"/>
        <item x="30"/>
        <item x="145"/>
        <item x="79"/>
        <item x="60"/>
        <item x="10"/>
        <item x="76"/>
        <item x="179"/>
        <item x="31"/>
        <item x="74"/>
        <item x="163"/>
        <item x="129"/>
        <item x="98"/>
        <item x="84"/>
        <item x="57"/>
        <item x="65"/>
        <item x="134"/>
        <item x="59"/>
        <item x="1"/>
        <item x="47"/>
        <item x="154"/>
        <item x="173"/>
        <item x="50"/>
        <item x="142"/>
        <item x="156"/>
        <item x="6"/>
        <item x="111"/>
        <item x="90"/>
        <item x="44"/>
        <item x="73"/>
        <item x="124"/>
        <item x="4"/>
        <item x="55"/>
        <item x="132"/>
        <item x="40"/>
        <item x="168"/>
        <item x="133"/>
        <item x="165"/>
        <item x="48"/>
        <item x="116"/>
        <item x="102"/>
        <item x="162"/>
        <item x="113"/>
        <item x="69"/>
        <item x="58"/>
        <item x="37"/>
        <item x="26"/>
        <item x="117"/>
        <item x="141"/>
        <item x="152"/>
        <item x="35"/>
        <item x="28"/>
        <item x="100"/>
        <item x="131"/>
        <item x="176"/>
        <item x="115"/>
        <item x="0"/>
        <item x="103"/>
        <item x="16"/>
        <item x="5"/>
        <item x="94"/>
        <item x="7"/>
        <item x="66"/>
        <item x="89"/>
        <item x="143"/>
        <item x="83"/>
        <item x="39"/>
        <item x="53"/>
        <item x="119"/>
        <item x="135"/>
        <item x="108"/>
        <item x="175"/>
        <item x="121"/>
        <item x="49"/>
        <item x="81"/>
        <item x="23"/>
        <item x="27"/>
        <item x="34"/>
        <item x="82"/>
        <item x="54"/>
        <item x="95"/>
        <item x="112"/>
        <item x="61"/>
        <item x="3"/>
        <item x="45"/>
        <item x="96"/>
        <item x="64"/>
        <item x="114"/>
        <item x="146"/>
        <item x="85"/>
        <item x="15"/>
        <item x="70"/>
        <item x="161"/>
        <item x="158"/>
        <item x="105"/>
        <item x="67"/>
        <item x="118"/>
        <item x="106"/>
        <item x="128"/>
        <item x="11"/>
        <item x="147"/>
        <item x="164"/>
        <item x="72"/>
        <item x="167"/>
        <item x="122"/>
        <item x="140"/>
        <item x="178"/>
        <item x="80"/>
        <item t="default"/>
      </items>
    </pivotField>
  </pivotFields>
  <rowFields count="1">
    <field x="1"/>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Count of Series Title"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2" xr10:uid="{914BED68-1918-4C04-835D-FF188AFBC899}" sourceName="Genre2">
  <pivotTables>
    <pivotTable tabId="17" name="PivotTable9"/>
    <pivotTable tabId="16" name="PivotTable8"/>
    <pivotTable tabId="18" name="PivotTable11"/>
    <pivotTable tabId="20" name="PivotTable12"/>
    <pivotTable tabId="22" name="PivotTable13"/>
  </pivotTables>
  <data>
    <tabular pivotCacheId="702980317">
      <items count="7">
        <i x="1" s="1"/>
        <i x="2" s="1"/>
        <i x="3" s="1"/>
        <i x="0"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Rating" xr10:uid="{4195DDEF-DF4D-4802-80C7-94A276F13684}" sourceName="Content Rating">
  <pivotTables>
    <pivotTable tabId="21" name="PivotTable14"/>
    <pivotTable tabId="23" name="PivotTable15"/>
  </pivotTables>
  <data>
    <tabular pivotCacheId="525170121">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ing_Platform2" xr10:uid="{F34712FD-A001-4F94-853E-8447775F19CF}" sourceName="Streaming Platform2">
  <pivotTables>
    <pivotTable tabId="16" name="PivotTable8"/>
    <pivotTable tabId="17" name="PivotTable9"/>
  </pivotTables>
  <data>
    <tabular pivotCacheId="702980317">
      <items count="5">
        <i x="2" s="1"/>
        <i x="1"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aming Platform2" xr10:uid="{9A7BF06F-791D-4C3B-A4DA-EB6E0EED24FF}" cache="Slicer_Streaming_Platform2" caption="Streaming Platform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E604B929-71DF-4BC9-AB00-0CEC0E744534}" cache="Slicer_Genre2" caption="Genre" columnCount="7"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Rating" xr10:uid="{7A6AF58D-7ECC-43AF-A09B-0EB3AC76967B}" cache="Slicer_Content_Rating" caption="Content Rating" columnCount="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BB2030C3-580A-4F3D-9718-12CABF158D81}" cache="Slicer_Genre2" caption="Genre" columnCount="7" rowHeight="241300"/>
  <slicer name="Content Rating 1" xr10:uid="{9603FC9B-B92D-44C5-A50F-7DF7999D1E95}" cache="Slicer_Content_Rating" caption="Content Rating" columnCoun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0"/>
  <sheetViews>
    <sheetView zoomScale="80" zoomScaleNormal="80" workbookViewId="0">
      <selection activeCell="B1" sqref="B1:B1048576"/>
    </sheetView>
  </sheetViews>
  <sheetFormatPr defaultRowHeight="15" x14ac:dyDescent="0.25"/>
  <cols>
    <col min="1" max="1" width="63.5703125" customWidth="1"/>
    <col min="2" max="2" width="15.7109375" customWidth="1"/>
    <col min="3" max="3" width="16.28515625" customWidth="1"/>
    <col min="4" max="4" width="14" customWidth="1"/>
    <col min="5" max="5" width="10.28515625" customWidth="1"/>
    <col min="6" max="6" width="33.28515625" customWidth="1"/>
    <col min="7" max="7" width="21.140625" customWidth="1"/>
    <col min="8" max="8" width="13.5703125" bestFit="1" customWidth="1"/>
    <col min="9" max="9" width="41.42578125" bestFit="1" customWidth="1"/>
  </cols>
  <sheetData>
    <row r="1" spans="1:9" x14ac:dyDescent="0.25">
      <c r="A1" s="41" t="s">
        <v>0</v>
      </c>
      <c r="B1" s="41" t="s">
        <v>1</v>
      </c>
      <c r="C1" s="41" t="s">
        <v>2</v>
      </c>
      <c r="D1" s="41" t="s">
        <v>3</v>
      </c>
      <c r="E1" s="41" t="s">
        <v>4</v>
      </c>
      <c r="F1" s="41" t="s">
        <v>5</v>
      </c>
      <c r="G1" s="41" t="s">
        <v>6</v>
      </c>
      <c r="H1" s="41" t="s">
        <v>7</v>
      </c>
      <c r="I1" s="41" t="s">
        <v>8</v>
      </c>
    </row>
    <row r="2" spans="1:9" x14ac:dyDescent="0.25">
      <c r="A2" s="39" t="s">
        <v>9</v>
      </c>
      <c r="B2" s="39">
        <v>2008</v>
      </c>
      <c r="C2" s="39" t="s">
        <v>10</v>
      </c>
      <c r="D2" s="39">
        <v>9.5</v>
      </c>
      <c r="E2" s="39">
        <v>100</v>
      </c>
      <c r="F2" s="39" t="s">
        <v>11</v>
      </c>
      <c r="G2" s="39" t="s">
        <v>12</v>
      </c>
      <c r="H2" s="39" t="s">
        <v>13</v>
      </c>
      <c r="I2" s="39" t="s">
        <v>14</v>
      </c>
    </row>
    <row r="3" spans="1:9" x14ac:dyDescent="0.25">
      <c r="A3" s="40" t="s">
        <v>15</v>
      </c>
      <c r="B3" s="40">
        <v>2011</v>
      </c>
      <c r="C3" s="40" t="s">
        <v>10</v>
      </c>
      <c r="D3" s="40">
        <v>9.3000000000000007</v>
      </c>
      <c r="E3" s="40">
        <v>99</v>
      </c>
      <c r="F3" s="40" t="s">
        <v>16</v>
      </c>
      <c r="G3" s="40" t="s">
        <v>17</v>
      </c>
      <c r="H3" s="40" t="s">
        <v>18</v>
      </c>
      <c r="I3" s="40" t="s">
        <v>19</v>
      </c>
    </row>
    <row r="4" spans="1:9" x14ac:dyDescent="0.25">
      <c r="A4" s="39" t="s">
        <v>20</v>
      </c>
      <c r="B4" s="39">
        <v>2013</v>
      </c>
      <c r="C4" s="39" t="s">
        <v>10</v>
      </c>
      <c r="D4" s="39">
        <v>9.1999999999999993</v>
      </c>
      <c r="E4" s="39">
        <v>97</v>
      </c>
      <c r="F4" s="39" t="s">
        <v>21</v>
      </c>
      <c r="G4" s="39" t="s">
        <v>22</v>
      </c>
      <c r="H4" s="39" t="s">
        <v>23</v>
      </c>
      <c r="I4" s="39" t="s">
        <v>24</v>
      </c>
    </row>
    <row r="5" spans="1:9" x14ac:dyDescent="0.25">
      <c r="A5" s="40" t="s">
        <v>25</v>
      </c>
      <c r="B5" s="40">
        <v>2016</v>
      </c>
      <c r="C5" s="40" t="s">
        <v>26</v>
      </c>
      <c r="D5" s="40">
        <v>8.8000000000000007</v>
      </c>
      <c r="E5" s="40">
        <v>96</v>
      </c>
      <c r="F5" s="40" t="s">
        <v>27</v>
      </c>
      <c r="G5" s="40" t="s">
        <v>28</v>
      </c>
      <c r="H5" s="40" t="s">
        <v>29</v>
      </c>
      <c r="I5" s="40" t="s">
        <v>14</v>
      </c>
    </row>
    <row r="6" spans="1:9" x14ac:dyDescent="0.25">
      <c r="A6" s="39" t="s">
        <v>30</v>
      </c>
      <c r="B6" s="39">
        <v>2019</v>
      </c>
      <c r="C6" s="39" t="s">
        <v>10</v>
      </c>
      <c r="D6" s="39">
        <v>8.6999999999999993</v>
      </c>
      <c r="E6" s="39">
        <v>95</v>
      </c>
      <c r="F6" s="39" t="s">
        <v>31</v>
      </c>
      <c r="G6" s="39" t="s">
        <v>32</v>
      </c>
      <c r="H6" s="39" t="s">
        <v>33</v>
      </c>
      <c r="I6" s="39" t="s">
        <v>34</v>
      </c>
    </row>
    <row r="7" spans="1:9" x14ac:dyDescent="0.25">
      <c r="A7" s="40" t="s">
        <v>35</v>
      </c>
      <c r="B7" s="40">
        <v>2017</v>
      </c>
      <c r="C7" s="40" t="s">
        <v>26</v>
      </c>
      <c r="D7" s="40">
        <v>8.8000000000000007</v>
      </c>
      <c r="E7" s="40">
        <v>95</v>
      </c>
      <c r="F7" s="40" t="s">
        <v>11</v>
      </c>
      <c r="G7" s="40" t="s">
        <v>36</v>
      </c>
      <c r="H7" s="40" t="s">
        <v>29</v>
      </c>
      <c r="I7" s="40" t="s">
        <v>14</v>
      </c>
    </row>
    <row r="8" spans="1:9" x14ac:dyDescent="0.25">
      <c r="A8" s="39" t="s">
        <v>37</v>
      </c>
      <c r="B8" s="39">
        <v>2019</v>
      </c>
      <c r="C8" s="39" t="s">
        <v>10</v>
      </c>
      <c r="D8" s="39">
        <v>9.4</v>
      </c>
      <c r="E8" s="39">
        <v>95</v>
      </c>
      <c r="F8" s="39" t="s">
        <v>38</v>
      </c>
      <c r="G8" s="39" t="s">
        <v>39</v>
      </c>
      <c r="H8" s="39" t="s">
        <v>40</v>
      </c>
      <c r="I8" s="39" t="s">
        <v>19</v>
      </c>
    </row>
    <row r="9" spans="1:9" x14ac:dyDescent="0.25">
      <c r="A9" s="40" t="s">
        <v>41</v>
      </c>
      <c r="B9" s="40">
        <v>2010</v>
      </c>
      <c r="C9" s="40" t="s">
        <v>26</v>
      </c>
      <c r="D9" s="40">
        <v>9.1</v>
      </c>
      <c r="E9" s="40">
        <v>94</v>
      </c>
      <c r="F9" s="40" t="s">
        <v>42</v>
      </c>
      <c r="G9" s="40" t="s">
        <v>43</v>
      </c>
      <c r="H9" s="40" t="s">
        <v>23</v>
      </c>
      <c r="I9" s="40" t="s">
        <v>14</v>
      </c>
    </row>
    <row r="10" spans="1:9" x14ac:dyDescent="0.25">
      <c r="A10" s="39" t="s">
        <v>44</v>
      </c>
      <c r="B10" s="39">
        <v>2014</v>
      </c>
      <c r="C10" s="39" t="s">
        <v>10</v>
      </c>
      <c r="D10" s="39">
        <v>8.9</v>
      </c>
      <c r="E10" s="39">
        <v>94</v>
      </c>
      <c r="F10" s="39" t="s">
        <v>11</v>
      </c>
      <c r="G10" s="39" t="s">
        <v>45</v>
      </c>
      <c r="H10" s="39" t="s">
        <v>29</v>
      </c>
      <c r="I10" s="39" t="s">
        <v>46</v>
      </c>
    </row>
    <row r="11" spans="1:9" x14ac:dyDescent="0.25">
      <c r="A11" s="40" t="s">
        <v>47</v>
      </c>
      <c r="B11" s="40">
        <v>2005</v>
      </c>
      <c r="C11" s="40" t="s">
        <v>48</v>
      </c>
      <c r="D11" s="40">
        <v>9.1999999999999993</v>
      </c>
      <c r="E11" s="40">
        <v>94</v>
      </c>
      <c r="F11" s="40" t="s">
        <v>49</v>
      </c>
      <c r="G11" s="40" t="s">
        <v>50</v>
      </c>
      <c r="H11" s="40" t="s">
        <v>29</v>
      </c>
      <c r="I11" s="40" t="s">
        <v>51</v>
      </c>
    </row>
    <row r="12" spans="1:9" x14ac:dyDescent="0.25">
      <c r="A12" s="39" t="s">
        <v>52</v>
      </c>
      <c r="B12" s="39">
        <v>1994</v>
      </c>
      <c r="C12" s="39" t="s">
        <v>26</v>
      </c>
      <c r="D12" s="39">
        <v>8.9</v>
      </c>
      <c r="E12" s="39">
        <v>94</v>
      </c>
      <c r="F12" s="39" t="s">
        <v>53</v>
      </c>
      <c r="G12" s="39" t="s">
        <v>54</v>
      </c>
      <c r="H12" s="39" t="s">
        <v>55</v>
      </c>
      <c r="I12" s="39" t="s">
        <v>56</v>
      </c>
    </row>
    <row r="13" spans="1:9" x14ac:dyDescent="0.25">
      <c r="A13" s="40" t="s">
        <v>57</v>
      </c>
      <c r="B13" s="40">
        <v>2005</v>
      </c>
      <c r="C13" s="40" t="s">
        <v>26</v>
      </c>
      <c r="D13" s="40">
        <v>8.9</v>
      </c>
      <c r="E13" s="40">
        <v>93</v>
      </c>
      <c r="F13" s="40" t="s">
        <v>58</v>
      </c>
      <c r="G13" s="40" t="s">
        <v>59</v>
      </c>
      <c r="H13" s="40" t="s">
        <v>60</v>
      </c>
      <c r="I13" s="40" t="s">
        <v>61</v>
      </c>
    </row>
    <row r="14" spans="1:9" x14ac:dyDescent="0.25">
      <c r="A14" s="39" t="s">
        <v>62</v>
      </c>
      <c r="B14" s="39">
        <v>2005</v>
      </c>
      <c r="C14" s="39" t="s">
        <v>26</v>
      </c>
      <c r="D14" s="39">
        <v>8.4</v>
      </c>
      <c r="E14" s="39">
        <v>93</v>
      </c>
      <c r="F14" s="39" t="s">
        <v>27</v>
      </c>
      <c r="G14" s="39" t="s">
        <v>63</v>
      </c>
      <c r="H14" s="39" t="s">
        <v>64</v>
      </c>
      <c r="I14" s="39" t="s">
        <v>65</v>
      </c>
    </row>
    <row r="15" spans="1:9" x14ac:dyDescent="0.25">
      <c r="A15" s="40" t="s">
        <v>66</v>
      </c>
      <c r="B15" s="40">
        <v>2002</v>
      </c>
      <c r="C15" s="40" t="s">
        <v>10</v>
      </c>
      <c r="D15" s="40">
        <v>9.3000000000000007</v>
      </c>
      <c r="E15" s="40">
        <v>93</v>
      </c>
      <c r="F15" s="40" t="s">
        <v>11</v>
      </c>
      <c r="G15" s="40" t="s">
        <v>67</v>
      </c>
      <c r="H15" s="40" t="s">
        <v>13</v>
      </c>
      <c r="I15" s="40" t="s">
        <v>19</v>
      </c>
    </row>
    <row r="16" spans="1:9" x14ac:dyDescent="0.25">
      <c r="A16" s="39" t="s">
        <v>68</v>
      </c>
      <c r="B16" s="39">
        <v>2015</v>
      </c>
      <c r="C16" s="39" t="s">
        <v>10</v>
      </c>
      <c r="D16" s="39">
        <v>8.6999999999999993</v>
      </c>
      <c r="E16" s="39">
        <v>92</v>
      </c>
      <c r="F16" s="39" t="s">
        <v>69</v>
      </c>
      <c r="G16" s="39" t="s">
        <v>70</v>
      </c>
      <c r="H16" s="39" t="s">
        <v>13</v>
      </c>
      <c r="I16" s="39" t="s">
        <v>14</v>
      </c>
    </row>
    <row r="17" spans="1:9" x14ac:dyDescent="0.25">
      <c r="A17" s="40" t="s">
        <v>71</v>
      </c>
      <c r="B17" s="40">
        <v>2013</v>
      </c>
      <c r="C17" s="40" t="s">
        <v>10</v>
      </c>
      <c r="D17" s="40">
        <v>8.8000000000000007</v>
      </c>
      <c r="E17" s="40">
        <v>92</v>
      </c>
      <c r="F17" s="40" t="s">
        <v>72</v>
      </c>
      <c r="G17" s="40" t="s">
        <v>73</v>
      </c>
      <c r="H17" s="40" t="s">
        <v>29</v>
      </c>
      <c r="I17" s="40" t="s">
        <v>74</v>
      </c>
    </row>
    <row r="18" spans="1:9" x14ac:dyDescent="0.25">
      <c r="A18" s="39" t="s">
        <v>75</v>
      </c>
      <c r="B18" s="39">
        <v>2011</v>
      </c>
      <c r="C18" s="39" t="s">
        <v>10</v>
      </c>
      <c r="D18" s="39">
        <v>8.8000000000000007</v>
      </c>
      <c r="E18" s="39">
        <v>92</v>
      </c>
      <c r="F18" s="39" t="s">
        <v>76</v>
      </c>
      <c r="G18" s="39" t="s">
        <v>77</v>
      </c>
      <c r="H18" s="39" t="s">
        <v>13</v>
      </c>
      <c r="I18" s="39" t="s">
        <v>14</v>
      </c>
    </row>
    <row r="19" spans="1:9" x14ac:dyDescent="0.25">
      <c r="A19" s="40" t="s">
        <v>78</v>
      </c>
      <c r="B19" s="40">
        <v>2001</v>
      </c>
      <c r="C19" s="40" t="s">
        <v>10</v>
      </c>
      <c r="D19" s="40">
        <v>9.4</v>
      </c>
      <c r="E19" s="40">
        <v>92</v>
      </c>
      <c r="F19" s="40" t="s">
        <v>16</v>
      </c>
      <c r="G19" s="40" t="s">
        <v>79</v>
      </c>
      <c r="H19" s="40" t="s">
        <v>80</v>
      </c>
      <c r="I19" s="40" t="s">
        <v>19</v>
      </c>
    </row>
    <row r="20" spans="1:9" x14ac:dyDescent="0.25">
      <c r="A20" s="39" t="s">
        <v>81</v>
      </c>
      <c r="B20" s="39">
        <v>2004</v>
      </c>
      <c r="C20" s="39" t="s">
        <v>26</v>
      </c>
      <c r="D20" s="39">
        <v>8.6999999999999993</v>
      </c>
      <c r="E20" s="39">
        <v>92</v>
      </c>
      <c r="F20" s="39" t="s">
        <v>82</v>
      </c>
      <c r="G20" s="39" t="s">
        <v>83</v>
      </c>
      <c r="H20" s="39" t="s">
        <v>18</v>
      </c>
      <c r="I20" s="39" t="s">
        <v>84</v>
      </c>
    </row>
    <row r="21" spans="1:9" x14ac:dyDescent="0.25">
      <c r="A21" s="40" t="s">
        <v>85</v>
      </c>
      <c r="B21" s="40">
        <v>2016</v>
      </c>
      <c r="C21" s="40" t="s">
        <v>26</v>
      </c>
      <c r="D21" s="40">
        <v>8.1999999999999993</v>
      </c>
      <c r="E21" s="40">
        <v>92</v>
      </c>
      <c r="F21" s="40" t="s">
        <v>86</v>
      </c>
      <c r="G21" s="40" t="s">
        <v>87</v>
      </c>
      <c r="H21" s="40" t="s">
        <v>13</v>
      </c>
      <c r="I21" s="40" t="s">
        <v>14</v>
      </c>
    </row>
    <row r="22" spans="1:9" x14ac:dyDescent="0.25">
      <c r="A22" s="39" t="s">
        <v>88</v>
      </c>
      <c r="B22" s="39">
        <v>2017</v>
      </c>
      <c r="C22" s="39" t="s">
        <v>10</v>
      </c>
      <c r="D22" s="39">
        <v>8.4</v>
      </c>
      <c r="E22" s="39">
        <v>92</v>
      </c>
      <c r="F22" s="39" t="s">
        <v>89</v>
      </c>
      <c r="G22" s="39" t="s">
        <v>90</v>
      </c>
      <c r="H22" s="39" t="s">
        <v>33</v>
      </c>
      <c r="I22" s="39" t="s">
        <v>14</v>
      </c>
    </row>
    <row r="23" spans="1:9" x14ac:dyDescent="0.25">
      <c r="A23" s="40" t="s">
        <v>91</v>
      </c>
      <c r="B23" s="40">
        <v>2015</v>
      </c>
      <c r="C23" s="40" t="s">
        <v>10</v>
      </c>
      <c r="D23" s="40">
        <v>8.5</v>
      </c>
      <c r="E23" s="40">
        <v>92</v>
      </c>
      <c r="F23" s="40" t="s">
        <v>92</v>
      </c>
      <c r="G23" s="40" t="s">
        <v>93</v>
      </c>
      <c r="H23" s="40" t="s">
        <v>23</v>
      </c>
      <c r="I23" s="40" t="s">
        <v>94</v>
      </c>
    </row>
    <row r="24" spans="1:9" x14ac:dyDescent="0.25">
      <c r="A24" s="39" t="s">
        <v>95</v>
      </c>
      <c r="B24" s="39">
        <v>2013</v>
      </c>
      <c r="C24" s="39" t="s">
        <v>10</v>
      </c>
      <c r="D24" s="39">
        <v>8.8000000000000007</v>
      </c>
      <c r="E24" s="39">
        <v>92</v>
      </c>
      <c r="F24" s="39" t="s">
        <v>11</v>
      </c>
      <c r="G24" s="39" t="s">
        <v>96</v>
      </c>
      <c r="H24" s="39" t="s">
        <v>97</v>
      </c>
      <c r="I24" s="39" t="s">
        <v>14</v>
      </c>
    </row>
    <row r="25" spans="1:9" x14ac:dyDescent="0.25">
      <c r="A25" s="40" t="s">
        <v>98</v>
      </c>
      <c r="B25" s="40">
        <v>2018</v>
      </c>
      <c r="C25" s="40" t="s">
        <v>26</v>
      </c>
      <c r="D25" s="40">
        <v>8.8000000000000007</v>
      </c>
      <c r="E25" s="40">
        <v>91</v>
      </c>
      <c r="F25" s="40" t="s">
        <v>16</v>
      </c>
      <c r="G25" s="40" t="s">
        <v>99</v>
      </c>
      <c r="H25" s="40" t="s">
        <v>33</v>
      </c>
      <c r="I25" s="40" t="s">
        <v>100</v>
      </c>
    </row>
    <row r="26" spans="1:9" x14ac:dyDescent="0.25">
      <c r="A26" s="39" t="s">
        <v>101</v>
      </c>
      <c r="B26" s="39">
        <v>1989</v>
      </c>
      <c r="C26" s="39" t="s">
        <v>48</v>
      </c>
      <c r="D26" s="39">
        <v>8.6999999999999993</v>
      </c>
      <c r="E26" s="39">
        <v>91</v>
      </c>
      <c r="F26" s="39" t="s">
        <v>21</v>
      </c>
      <c r="G26" s="39" t="s">
        <v>102</v>
      </c>
      <c r="H26" s="39" t="s">
        <v>103</v>
      </c>
      <c r="I26" s="39" t="s">
        <v>104</v>
      </c>
    </row>
    <row r="27" spans="1:9" x14ac:dyDescent="0.25">
      <c r="A27" s="40" t="s">
        <v>105</v>
      </c>
      <c r="B27" s="40">
        <v>2019</v>
      </c>
      <c r="C27" s="40" t="s">
        <v>26</v>
      </c>
      <c r="D27" s="40">
        <v>8.6999999999999993</v>
      </c>
      <c r="E27" s="40">
        <v>91</v>
      </c>
      <c r="F27" s="40" t="s">
        <v>106</v>
      </c>
      <c r="G27" s="40" t="s">
        <v>107</v>
      </c>
      <c r="H27" s="40" t="s">
        <v>40</v>
      </c>
      <c r="I27" s="40" t="s">
        <v>108</v>
      </c>
    </row>
    <row r="28" spans="1:9" x14ac:dyDescent="0.25">
      <c r="A28" s="39" t="s">
        <v>109</v>
      </c>
      <c r="B28" s="39">
        <v>1999</v>
      </c>
      <c r="C28" s="39" t="s">
        <v>10</v>
      </c>
      <c r="D28" s="39">
        <v>9.1999999999999993</v>
      </c>
      <c r="E28" s="39">
        <v>91</v>
      </c>
      <c r="F28" s="39" t="s">
        <v>11</v>
      </c>
      <c r="G28" s="39" t="s">
        <v>110</v>
      </c>
      <c r="H28" s="39" t="s">
        <v>111</v>
      </c>
      <c r="I28" s="39" t="s">
        <v>19</v>
      </c>
    </row>
    <row r="29" spans="1:9" x14ac:dyDescent="0.25">
      <c r="A29" s="40" t="s">
        <v>112</v>
      </c>
      <c r="B29" s="40">
        <v>2019</v>
      </c>
      <c r="C29" s="40" t="s">
        <v>10</v>
      </c>
      <c r="D29" s="40">
        <v>8</v>
      </c>
      <c r="E29" s="40">
        <v>91</v>
      </c>
      <c r="F29" s="40" t="s">
        <v>31</v>
      </c>
      <c r="G29" s="40" t="s">
        <v>113</v>
      </c>
      <c r="H29" s="40" t="s">
        <v>33</v>
      </c>
      <c r="I29" s="40" t="s">
        <v>14</v>
      </c>
    </row>
    <row r="30" spans="1:9" x14ac:dyDescent="0.25">
      <c r="A30" s="39" t="s">
        <v>114</v>
      </c>
      <c r="B30" s="39">
        <v>2013</v>
      </c>
      <c r="C30" s="39" t="s">
        <v>10</v>
      </c>
      <c r="D30" s="39">
        <v>8.5</v>
      </c>
      <c r="E30" s="39">
        <v>91</v>
      </c>
      <c r="F30" s="39" t="s">
        <v>16</v>
      </c>
      <c r="G30" s="39" t="s">
        <v>115</v>
      </c>
      <c r="H30" s="39" t="s">
        <v>111</v>
      </c>
      <c r="I30" s="39" t="s">
        <v>116</v>
      </c>
    </row>
    <row r="31" spans="1:9" x14ac:dyDescent="0.25">
      <c r="A31" s="40" t="s">
        <v>117</v>
      </c>
      <c r="B31" s="40">
        <v>2010</v>
      </c>
      <c r="C31" s="40" t="s">
        <v>10</v>
      </c>
      <c r="D31" s="40">
        <v>8.1999999999999993</v>
      </c>
      <c r="E31" s="40">
        <v>91</v>
      </c>
      <c r="F31" s="40" t="s">
        <v>118</v>
      </c>
      <c r="G31" s="40" t="s">
        <v>119</v>
      </c>
      <c r="H31" s="40" t="s">
        <v>55</v>
      </c>
      <c r="I31" s="40" t="s">
        <v>120</v>
      </c>
    </row>
    <row r="32" spans="1:9" x14ac:dyDescent="0.25">
      <c r="A32" s="39" t="s">
        <v>121</v>
      </c>
      <c r="B32" s="39">
        <v>2004</v>
      </c>
      <c r="C32" s="39" t="s">
        <v>26</v>
      </c>
      <c r="D32" s="39">
        <v>8.3000000000000007</v>
      </c>
      <c r="E32" s="39">
        <v>91</v>
      </c>
      <c r="F32" s="39" t="s">
        <v>16</v>
      </c>
      <c r="G32" s="39" t="s">
        <v>122</v>
      </c>
      <c r="H32" s="39" t="s">
        <v>123</v>
      </c>
      <c r="I32" s="39" t="s">
        <v>124</v>
      </c>
    </row>
    <row r="33" spans="1:9" x14ac:dyDescent="0.25">
      <c r="A33" s="40" t="s">
        <v>125</v>
      </c>
      <c r="B33" s="40">
        <v>2013</v>
      </c>
      <c r="C33" s="40" t="s">
        <v>26</v>
      </c>
      <c r="D33" s="40">
        <v>8.4</v>
      </c>
      <c r="E33" s="40">
        <v>91</v>
      </c>
      <c r="F33" s="40" t="s">
        <v>69</v>
      </c>
      <c r="G33" s="40" t="s">
        <v>126</v>
      </c>
      <c r="H33" s="40" t="s">
        <v>127</v>
      </c>
      <c r="I33" s="40" t="s">
        <v>128</v>
      </c>
    </row>
    <row r="34" spans="1:9" x14ac:dyDescent="0.25">
      <c r="A34" s="39" t="s">
        <v>129</v>
      </c>
      <c r="B34" s="39">
        <v>2019</v>
      </c>
      <c r="C34" s="39" t="s">
        <v>26</v>
      </c>
      <c r="D34" s="39">
        <v>8.3000000000000007</v>
      </c>
      <c r="E34" s="39">
        <v>91</v>
      </c>
      <c r="F34" s="39" t="s">
        <v>130</v>
      </c>
      <c r="G34" s="39" t="s">
        <v>131</v>
      </c>
      <c r="H34" s="39" t="s">
        <v>33</v>
      </c>
      <c r="I34" s="39" t="s">
        <v>14</v>
      </c>
    </row>
    <row r="35" spans="1:9" x14ac:dyDescent="0.25">
      <c r="A35" s="40" t="s">
        <v>132</v>
      </c>
      <c r="B35" s="40">
        <v>2017</v>
      </c>
      <c r="C35" s="40" t="s">
        <v>10</v>
      </c>
      <c r="D35" s="40">
        <v>8.6</v>
      </c>
      <c r="E35" s="40">
        <v>91</v>
      </c>
      <c r="F35" s="40" t="s">
        <v>11</v>
      </c>
      <c r="G35" s="40" t="s">
        <v>133</v>
      </c>
      <c r="H35" s="40" t="s">
        <v>33</v>
      </c>
      <c r="I35" s="40" t="s">
        <v>14</v>
      </c>
    </row>
    <row r="36" spans="1:9" x14ac:dyDescent="0.25">
      <c r="A36" s="39" t="s">
        <v>134</v>
      </c>
      <c r="B36" s="39">
        <v>2006</v>
      </c>
      <c r="C36" s="39" t="s">
        <v>10</v>
      </c>
      <c r="D36" s="39">
        <v>8.6</v>
      </c>
      <c r="E36" s="39">
        <v>91</v>
      </c>
      <c r="F36" s="39" t="s">
        <v>11</v>
      </c>
      <c r="G36" s="39" t="s">
        <v>135</v>
      </c>
      <c r="H36" s="39" t="s">
        <v>18</v>
      </c>
      <c r="I36" s="39" t="s">
        <v>136</v>
      </c>
    </row>
    <row r="37" spans="1:9" x14ac:dyDescent="0.25">
      <c r="A37" s="40" t="s">
        <v>137</v>
      </c>
      <c r="B37" s="40">
        <v>2015</v>
      </c>
      <c r="C37" s="40" t="s">
        <v>10</v>
      </c>
      <c r="D37" s="40">
        <v>8.8000000000000007</v>
      </c>
      <c r="E37" s="40">
        <v>91</v>
      </c>
      <c r="F37" s="40" t="s">
        <v>11</v>
      </c>
      <c r="G37" s="40" t="s">
        <v>138</v>
      </c>
      <c r="H37" s="40" t="s">
        <v>29</v>
      </c>
      <c r="I37" s="40" t="s">
        <v>14</v>
      </c>
    </row>
    <row r="38" spans="1:9" x14ac:dyDescent="0.25">
      <c r="A38" s="39" t="s">
        <v>139</v>
      </c>
      <c r="B38" s="39">
        <v>2016</v>
      </c>
      <c r="C38" s="39" t="s">
        <v>10</v>
      </c>
      <c r="D38" s="39">
        <v>8.6999999999999993</v>
      </c>
      <c r="E38" s="39">
        <v>91</v>
      </c>
      <c r="F38" s="39" t="s">
        <v>76</v>
      </c>
      <c r="G38" s="39" t="s">
        <v>140</v>
      </c>
      <c r="H38" s="39" t="s">
        <v>29</v>
      </c>
      <c r="I38" s="39" t="s">
        <v>19</v>
      </c>
    </row>
    <row r="39" spans="1:9" x14ac:dyDescent="0.25">
      <c r="A39" s="40" t="s">
        <v>141</v>
      </c>
      <c r="B39" s="40">
        <v>2014</v>
      </c>
      <c r="C39" s="40" t="s">
        <v>10</v>
      </c>
      <c r="D39" s="40">
        <v>9</v>
      </c>
      <c r="E39" s="40">
        <v>91</v>
      </c>
      <c r="F39" s="40" t="s">
        <v>11</v>
      </c>
      <c r="G39" s="40" t="s">
        <v>142</v>
      </c>
      <c r="H39" s="40" t="s">
        <v>29</v>
      </c>
      <c r="I39" s="40" t="s">
        <v>19</v>
      </c>
    </row>
    <row r="40" spans="1:9" x14ac:dyDescent="0.25">
      <c r="A40" s="39" t="s">
        <v>143</v>
      </c>
      <c r="B40" s="39">
        <v>1997</v>
      </c>
      <c r="C40" s="39" t="s">
        <v>10</v>
      </c>
      <c r="D40" s="39">
        <v>8.6999999999999993</v>
      </c>
      <c r="E40" s="39">
        <v>90</v>
      </c>
      <c r="F40" s="39" t="s">
        <v>21</v>
      </c>
      <c r="G40" s="39" t="s">
        <v>144</v>
      </c>
      <c r="H40" s="39" t="s">
        <v>145</v>
      </c>
      <c r="I40" s="39" t="s">
        <v>24</v>
      </c>
    </row>
    <row r="41" spans="1:9" x14ac:dyDescent="0.25">
      <c r="A41" s="40" t="s">
        <v>146</v>
      </c>
      <c r="B41" s="40">
        <v>2009</v>
      </c>
      <c r="C41" s="40" t="s">
        <v>26</v>
      </c>
      <c r="D41" s="40">
        <v>8.6</v>
      </c>
      <c r="E41" s="40">
        <v>90</v>
      </c>
      <c r="F41" s="40" t="s">
        <v>147</v>
      </c>
      <c r="G41" s="40" t="s">
        <v>148</v>
      </c>
      <c r="H41" s="40" t="s">
        <v>149</v>
      </c>
      <c r="I41" s="40" t="s">
        <v>150</v>
      </c>
    </row>
    <row r="42" spans="1:9" x14ac:dyDescent="0.25">
      <c r="A42" s="39" t="s">
        <v>151</v>
      </c>
      <c r="B42" s="39">
        <v>2007</v>
      </c>
      <c r="C42" s="39" t="s">
        <v>26</v>
      </c>
      <c r="D42" s="39">
        <v>8.6</v>
      </c>
      <c r="E42" s="39">
        <v>90</v>
      </c>
      <c r="F42" s="39" t="s">
        <v>152</v>
      </c>
      <c r="G42" s="39" t="s">
        <v>153</v>
      </c>
      <c r="H42" s="39" t="s">
        <v>149</v>
      </c>
      <c r="I42" s="39" t="s">
        <v>154</v>
      </c>
    </row>
    <row r="43" spans="1:9" x14ac:dyDescent="0.25">
      <c r="A43" s="40" t="s">
        <v>155</v>
      </c>
      <c r="B43" s="40">
        <v>2015</v>
      </c>
      <c r="C43" s="40" t="s">
        <v>10</v>
      </c>
      <c r="D43" s="40">
        <v>8.6</v>
      </c>
      <c r="E43" s="40">
        <v>90</v>
      </c>
      <c r="F43" s="40" t="s">
        <v>42</v>
      </c>
      <c r="G43" s="40" t="s">
        <v>156</v>
      </c>
      <c r="H43" s="40" t="s">
        <v>29</v>
      </c>
      <c r="I43" s="40" t="s">
        <v>14</v>
      </c>
    </row>
    <row r="44" spans="1:9" x14ac:dyDescent="0.25">
      <c r="A44" s="39" t="s">
        <v>157</v>
      </c>
      <c r="B44" s="39">
        <v>2002</v>
      </c>
      <c r="C44" s="39" t="s">
        <v>26</v>
      </c>
      <c r="D44" s="39">
        <v>9</v>
      </c>
      <c r="E44" s="39">
        <v>90</v>
      </c>
      <c r="F44" s="39" t="s">
        <v>76</v>
      </c>
      <c r="G44" s="39" t="s">
        <v>158</v>
      </c>
      <c r="H44" s="39" t="s">
        <v>40</v>
      </c>
      <c r="I44" s="39" t="s">
        <v>46</v>
      </c>
    </row>
    <row r="45" spans="1:9" x14ac:dyDescent="0.25">
      <c r="A45" s="40" t="s">
        <v>159</v>
      </c>
      <c r="B45" s="40">
        <v>2008</v>
      </c>
      <c r="C45" s="40" t="s">
        <v>26</v>
      </c>
      <c r="D45" s="40">
        <v>8.4</v>
      </c>
      <c r="E45" s="40">
        <v>90</v>
      </c>
      <c r="F45" s="40" t="s">
        <v>11</v>
      </c>
      <c r="G45" s="40" t="s">
        <v>160</v>
      </c>
      <c r="H45" s="40" t="s">
        <v>97</v>
      </c>
      <c r="I45" s="40" t="s">
        <v>161</v>
      </c>
    </row>
    <row r="46" spans="1:9" x14ac:dyDescent="0.25">
      <c r="A46" s="39" t="s">
        <v>162</v>
      </c>
      <c r="B46" s="39">
        <v>2011</v>
      </c>
      <c r="C46" s="39" t="s">
        <v>10</v>
      </c>
      <c r="D46" s="39">
        <v>8.6</v>
      </c>
      <c r="E46" s="39">
        <v>90</v>
      </c>
      <c r="F46" s="39" t="s">
        <v>163</v>
      </c>
      <c r="G46" s="39" t="s">
        <v>164</v>
      </c>
      <c r="H46" s="39" t="s">
        <v>165</v>
      </c>
      <c r="I46" s="39" t="s">
        <v>166</v>
      </c>
    </row>
    <row r="47" spans="1:9" x14ac:dyDescent="0.25">
      <c r="A47" s="40" t="s">
        <v>167</v>
      </c>
      <c r="B47" s="40">
        <v>2007</v>
      </c>
      <c r="C47" s="40" t="s">
        <v>26</v>
      </c>
      <c r="D47" s="40">
        <v>8.1</v>
      </c>
      <c r="E47" s="40">
        <v>90</v>
      </c>
      <c r="F47" s="40" t="s">
        <v>53</v>
      </c>
      <c r="G47" s="40" t="s">
        <v>168</v>
      </c>
      <c r="H47" s="40" t="s">
        <v>169</v>
      </c>
      <c r="I47" s="40" t="s">
        <v>56</v>
      </c>
    </row>
    <row r="48" spans="1:9" x14ac:dyDescent="0.25">
      <c r="A48" s="39" t="s">
        <v>170</v>
      </c>
      <c r="B48" s="39">
        <v>2009</v>
      </c>
      <c r="C48" s="39" t="s">
        <v>26</v>
      </c>
      <c r="D48" s="39">
        <v>8.4</v>
      </c>
      <c r="E48" s="39">
        <v>90</v>
      </c>
      <c r="F48" s="39" t="s">
        <v>163</v>
      </c>
      <c r="G48" s="39" t="s">
        <v>171</v>
      </c>
      <c r="H48" s="39" t="s">
        <v>172</v>
      </c>
      <c r="I48" s="39" t="s">
        <v>173</v>
      </c>
    </row>
    <row r="49" spans="1:9" x14ac:dyDescent="0.25">
      <c r="A49" s="40" t="s">
        <v>174</v>
      </c>
      <c r="B49" s="40">
        <v>2011</v>
      </c>
      <c r="C49" s="40" t="s">
        <v>26</v>
      </c>
      <c r="D49" s="40">
        <v>8.5</v>
      </c>
      <c r="E49" s="40">
        <v>90</v>
      </c>
      <c r="F49" s="40" t="s">
        <v>175</v>
      </c>
      <c r="G49" s="40" t="s">
        <v>176</v>
      </c>
      <c r="H49" s="40" t="s">
        <v>60</v>
      </c>
      <c r="I49" s="40" t="s">
        <v>177</v>
      </c>
    </row>
    <row r="50" spans="1:9" x14ac:dyDescent="0.25">
      <c r="A50" s="39" t="s">
        <v>178</v>
      </c>
      <c r="B50" s="39">
        <v>2020</v>
      </c>
      <c r="C50" s="39" t="s">
        <v>26</v>
      </c>
      <c r="D50" s="39">
        <v>9.1999999999999993</v>
      </c>
      <c r="E50" s="39">
        <v>90</v>
      </c>
      <c r="F50" s="39" t="s">
        <v>179</v>
      </c>
      <c r="G50" s="39" t="s">
        <v>180</v>
      </c>
      <c r="H50" s="39" t="s">
        <v>40</v>
      </c>
      <c r="I50" s="39" t="s">
        <v>14</v>
      </c>
    </row>
    <row r="51" spans="1:9" x14ac:dyDescent="0.25">
      <c r="A51" s="40" t="s">
        <v>181</v>
      </c>
      <c r="B51" s="40">
        <v>2009</v>
      </c>
      <c r="C51" s="40" t="s">
        <v>48</v>
      </c>
      <c r="D51" s="40">
        <v>8.5</v>
      </c>
      <c r="E51" s="40">
        <v>90</v>
      </c>
      <c r="F51" s="40" t="s">
        <v>147</v>
      </c>
      <c r="G51" s="40" t="s">
        <v>182</v>
      </c>
      <c r="H51" s="40" t="s">
        <v>111</v>
      </c>
      <c r="I51" s="40" t="s">
        <v>74</v>
      </c>
    </row>
    <row r="52" spans="1:9" x14ac:dyDescent="0.25">
      <c r="A52" s="39" t="s">
        <v>183</v>
      </c>
      <c r="B52" s="39">
        <v>2005</v>
      </c>
      <c r="C52" s="39" t="s">
        <v>10</v>
      </c>
      <c r="D52" s="39">
        <v>8.8000000000000007</v>
      </c>
      <c r="E52" s="39">
        <v>90</v>
      </c>
      <c r="F52" s="39" t="s">
        <v>58</v>
      </c>
      <c r="G52" s="39" t="s">
        <v>184</v>
      </c>
      <c r="H52" s="39" t="s">
        <v>185</v>
      </c>
      <c r="I52" s="39" t="s">
        <v>186</v>
      </c>
    </row>
    <row r="53" spans="1:9" x14ac:dyDescent="0.25">
      <c r="A53" s="40" t="s">
        <v>187</v>
      </c>
      <c r="B53" s="40">
        <v>1990</v>
      </c>
      <c r="C53" s="40" t="s">
        <v>10</v>
      </c>
      <c r="D53" s="40">
        <v>8.8000000000000007</v>
      </c>
      <c r="E53" s="40">
        <v>90</v>
      </c>
      <c r="F53" s="40" t="s">
        <v>118</v>
      </c>
      <c r="G53" s="40" t="s">
        <v>188</v>
      </c>
      <c r="H53" s="40" t="s">
        <v>189</v>
      </c>
      <c r="I53" s="40" t="s">
        <v>190</v>
      </c>
    </row>
    <row r="54" spans="1:9" x14ac:dyDescent="0.25">
      <c r="A54" s="39" t="s">
        <v>191</v>
      </c>
      <c r="B54" s="39">
        <v>2013</v>
      </c>
      <c r="C54" s="39" t="s">
        <v>10</v>
      </c>
      <c r="D54" s="39">
        <v>8.5</v>
      </c>
      <c r="E54" s="39">
        <v>90</v>
      </c>
      <c r="F54" s="39" t="s">
        <v>11</v>
      </c>
      <c r="G54" s="39" t="s">
        <v>192</v>
      </c>
      <c r="H54" s="39" t="s">
        <v>29</v>
      </c>
      <c r="I54" s="39" t="s">
        <v>14</v>
      </c>
    </row>
    <row r="55" spans="1:9" x14ac:dyDescent="0.25">
      <c r="A55" s="40" t="s">
        <v>193</v>
      </c>
      <c r="B55" s="40">
        <v>2017</v>
      </c>
      <c r="C55" s="40" t="s">
        <v>10</v>
      </c>
      <c r="D55" s="40">
        <v>8.4</v>
      </c>
      <c r="E55" s="40">
        <v>90</v>
      </c>
      <c r="F55" s="40" t="s">
        <v>11</v>
      </c>
      <c r="G55" s="40" t="s">
        <v>194</v>
      </c>
      <c r="H55" s="40" t="s">
        <v>29</v>
      </c>
      <c r="I55" s="40" t="s">
        <v>14</v>
      </c>
    </row>
    <row r="56" spans="1:9" x14ac:dyDescent="0.25">
      <c r="A56" s="39" t="s">
        <v>195</v>
      </c>
      <c r="B56" s="39">
        <v>1989</v>
      </c>
      <c r="C56" s="39" t="s">
        <v>48</v>
      </c>
      <c r="D56" s="39">
        <v>8.8000000000000007</v>
      </c>
      <c r="E56" s="39">
        <v>90</v>
      </c>
      <c r="F56" s="39" t="s">
        <v>196</v>
      </c>
      <c r="G56" s="39" t="s">
        <v>197</v>
      </c>
      <c r="H56" s="39" t="s">
        <v>60</v>
      </c>
      <c r="I56" s="39" t="s">
        <v>198</v>
      </c>
    </row>
    <row r="57" spans="1:9" x14ac:dyDescent="0.25">
      <c r="A57" s="40" t="s">
        <v>199</v>
      </c>
      <c r="B57" s="40">
        <v>2018</v>
      </c>
      <c r="C57" s="40" t="s">
        <v>10</v>
      </c>
      <c r="D57" s="40">
        <v>8.6999999999999993</v>
      </c>
      <c r="E57" s="40">
        <v>89</v>
      </c>
      <c r="F57" s="40" t="s">
        <v>200</v>
      </c>
      <c r="G57" s="40" t="s">
        <v>201</v>
      </c>
      <c r="H57" s="40" t="s">
        <v>40</v>
      </c>
      <c r="I57" s="40" t="s">
        <v>14</v>
      </c>
    </row>
    <row r="58" spans="1:9" x14ac:dyDescent="0.25">
      <c r="A58" s="39" t="s">
        <v>202</v>
      </c>
      <c r="B58" s="39">
        <v>2009</v>
      </c>
      <c r="C58" s="39" t="s">
        <v>10</v>
      </c>
      <c r="D58" s="39">
        <v>9.1</v>
      </c>
      <c r="E58" s="39">
        <v>89</v>
      </c>
      <c r="F58" s="39" t="s">
        <v>72</v>
      </c>
      <c r="G58" s="39" t="s">
        <v>203</v>
      </c>
      <c r="H58" s="39" t="s">
        <v>40</v>
      </c>
      <c r="I58" s="39" t="s">
        <v>204</v>
      </c>
    </row>
    <row r="59" spans="1:9" x14ac:dyDescent="0.25">
      <c r="A59" s="40" t="s">
        <v>205</v>
      </c>
      <c r="B59" s="40">
        <v>2019</v>
      </c>
      <c r="C59" s="40" t="s">
        <v>10</v>
      </c>
      <c r="D59" s="40">
        <v>8.1999999999999993</v>
      </c>
      <c r="E59" s="40">
        <v>89</v>
      </c>
      <c r="F59" s="40" t="s">
        <v>206</v>
      </c>
      <c r="G59" s="40" t="s">
        <v>207</v>
      </c>
      <c r="H59" s="40" t="s">
        <v>40</v>
      </c>
      <c r="I59" s="40" t="s">
        <v>14</v>
      </c>
    </row>
    <row r="60" spans="1:9" x14ac:dyDescent="0.25">
      <c r="A60" s="39" t="s">
        <v>208</v>
      </c>
      <c r="B60" s="39">
        <v>2013</v>
      </c>
      <c r="C60" s="39" t="s">
        <v>10</v>
      </c>
      <c r="D60" s="39">
        <v>8.1999999999999993</v>
      </c>
      <c r="E60" s="39">
        <v>89</v>
      </c>
      <c r="F60" s="39" t="s">
        <v>92</v>
      </c>
      <c r="G60" s="39" t="s">
        <v>209</v>
      </c>
      <c r="H60" s="39" t="s">
        <v>29</v>
      </c>
      <c r="I60" s="39" t="s">
        <v>210</v>
      </c>
    </row>
    <row r="61" spans="1:9" x14ac:dyDescent="0.25">
      <c r="A61" s="40" t="s">
        <v>211</v>
      </c>
      <c r="B61" s="40">
        <v>2011</v>
      </c>
      <c r="C61" s="40" t="s">
        <v>10</v>
      </c>
      <c r="D61" s="40">
        <v>8.3000000000000007</v>
      </c>
      <c r="E61" s="40">
        <v>89</v>
      </c>
      <c r="F61" s="40" t="s">
        <v>11</v>
      </c>
      <c r="G61" s="40" t="s">
        <v>212</v>
      </c>
      <c r="H61" s="40" t="s">
        <v>18</v>
      </c>
      <c r="I61" s="40" t="s">
        <v>213</v>
      </c>
    </row>
    <row r="62" spans="1:9" x14ac:dyDescent="0.25">
      <c r="A62" s="39" t="s">
        <v>214</v>
      </c>
      <c r="B62" s="39">
        <v>2014</v>
      </c>
      <c r="C62" s="39" t="s">
        <v>26</v>
      </c>
      <c r="D62" s="39">
        <v>7.7</v>
      </c>
      <c r="E62" s="39">
        <v>89</v>
      </c>
      <c r="F62" s="39" t="s">
        <v>76</v>
      </c>
      <c r="G62" s="39" t="s">
        <v>215</v>
      </c>
      <c r="H62" s="39" t="s">
        <v>127</v>
      </c>
      <c r="I62" s="39" t="s">
        <v>216</v>
      </c>
    </row>
    <row r="63" spans="1:9" x14ac:dyDescent="0.25">
      <c r="A63" s="40" t="s">
        <v>217</v>
      </c>
      <c r="B63" s="40">
        <v>2005</v>
      </c>
      <c r="C63" s="40" t="s">
        <v>26</v>
      </c>
      <c r="D63" s="40">
        <v>8.3000000000000007</v>
      </c>
      <c r="E63" s="40">
        <v>89</v>
      </c>
      <c r="F63" s="40" t="s">
        <v>53</v>
      </c>
      <c r="G63" s="40" t="s">
        <v>218</v>
      </c>
      <c r="H63" s="40" t="s">
        <v>60</v>
      </c>
      <c r="I63" s="40" t="s">
        <v>46</v>
      </c>
    </row>
    <row r="64" spans="1:9" x14ac:dyDescent="0.25">
      <c r="A64" s="39" t="s">
        <v>219</v>
      </c>
      <c r="B64" s="39">
        <v>2016</v>
      </c>
      <c r="C64" s="39" t="s">
        <v>26</v>
      </c>
      <c r="D64" s="39">
        <v>8.1999999999999993</v>
      </c>
      <c r="E64" s="39">
        <v>89</v>
      </c>
      <c r="F64" s="39" t="s">
        <v>163</v>
      </c>
      <c r="G64" s="39" t="s">
        <v>220</v>
      </c>
      <c r="H64" s="39" t="s">
        <v>23</v>
      </c>
      <c r="I64" s="39" t="s">
        <v>74</v>
      </c>
    </row>
    <row r="65" spans="1:9" x14ac:dyDescent="0.25">
      <c r="A65" s="40" t="s">
        <v>221</v>
      </c>
      <c r="B65" s="40">
        <v>2015</v>
      </c>
      <c r="C65" s="40" t="s">
        <v>26</v>
      </c>
      <c r="D65" s="40">
        <v>8.5</v>
      </c>
      <c r="E65" s="40">
        <v>89</v>
      </c>
      <c r="F65" s="40" t="s">
        <v>206</v>
      </c>
      <c r="G65" s="40" t="s">
        <v>222</v>
      </c>
      <c r="H65" s="40" t="s">
        <v>223</v>
      </c>
      <c r="I65" s="40" t="s">
        <v>34</v>
      </c>
    </row>
    <row r="66" spans="1:9" x14ac:dyDescent="0.25">
      <c r="A66" s="39" t="s">
        <v>224</v>
      </c>
      <c r="B66" s="39">
        <v>2005</v>
      </c>
      <c r="C66" s="39" t="s">
        <v>26</v>
      </c>
      <c r="D66" s="39">
        <v>7.6</v>
      </c>
      <c r="E66" s="39">
        <v>89</v>
      </c>
      <c r="F66" s="39" t="s">
        <v>225</v>
      </c>
      <c r="G66" s="39" t="s">
        <v>226</v>
      </c>
      <c r="H66" s="39" t="s">
        <v>227</v>
      </c>
      <c r="I66" s="39" t="s">
        <v>74</v>
      </c>
    </row>
    <row r="67" spans="1:9" x14ac:dyDescent="0.25">
      <c r="A67" s="40" t="s">
        <v>228</v>
      </c>
      <c r="B67" s="40">
        <v>2016</v>
      </c>
      <c r="C67" s="40" t="s">
        <v>26</v>
      </c>
      <c r="D67" s="40">
        <v>8.5</v>
      </c>
      <c r="E67" s="40">
        <v>89</v>
      </c>
      <c r="F67" s="40" t="s">
        <v>72</v>
      </c>
      <c r="G67" s="40" t="s">
        <v>229</v>
      </c>
      <c r="H67" s="40" t="s">
        <v>23</v>
      </c>
      <c r="I67" s="40" t="s">
        <v>230</v>
      </c>
    </row>
    <row r="68" spans="1:9" x14ac:dyDescent="0.25">
      <c r="A68" s="39" t="s">
        <v>231</v>
      </c>
      <c r="B68" s="39">
        <v>2013</v>
      </c>
      <c r="C68" s="39" t="s">
        <v>10</v>
      </c>
      <c r="D68" s="39">
        <v>8.6999999999999993</v>
      </c>
      <c r="E68" s="39">
        <v>89</v>
      </c>
      <c r="F68" s="39" t="s">
        <v>232</v>
      </c>
      <c r="G68" s="39" t="s">
        <v>233</v>
      </c>
      <c r="H68" s="39" t="s">
        <v>111</v>
      </c>
      <c r="I68" s="39" t="s">
        <v>14</v>
      </c>
    </row>
    <row r="69" spans="1:9" x14ac:dyDescent="0.25">
      <c r="A69" s="40" t="s">
        <v>234</v>
      </c>
      <c r="B69" s="40">
        <v>2017</v>
      </c>
      <c r="C69" s="40" t="s">
        <v>10</v>
      </c>
      <c r="D69" s="40">
        <v>8.5</v>
      </c>
      <c r="E69" s="40">
        <v>88</v>
      </c>
      <c r="F69" s="40" t="s">
        <v>76</v>
      </c>
      <c r="G69" s="40" t="s">
        <v>235</v>
      </c>
      <c r="H69" s="40" t="s">
        <v>29</v>
      </c>
      <c r="I69" s="40" t="s">
        <v>46</v>
      </c>
    </row>
    <row r="70" spans="1:9" x14ac:dyDescent="0.25">
      <c r="A70" s="39" t="s">
        <v>236</v>
      </c>
      <c r="B70" s="39">
        <v>2013</v>
      </c>
      <c r="C70" s="39" t="s">
        <v>26</v>
      </c>
      <c r="D70" s="39">
        <v>7.5</v>
      </c>
      <c r="E70" s="39">
        <v>88</v>
      </c>
      <c r="F70" s="39" t="s">
        <v>16</v>
      </c>
      <c r="G70" s="39" t="s">
        <v>237</v>
      </c>
      <c r="H70" s="39" t="s">
        <v>149</v>
      </c>
      <c r="I70" s="39" t="s">
        <v>74</v>
      </c>
    </row>
    <row r="71" spans="1:9" x14ac:dyDescent="0.25">
      <c r="A71" s="40" t="s">
        <v>238</v>
      </c>
      <c r="B71" s="40">
        <v>2016</v>
      </c>
      <c r="C71" s="40" t="s">
        <v>10</v>
      </c>
      <c r="D71" s="40">
        <v>8.6999999999999993</v>
      </c>
      <c r="E71" s="40">
        <v>88</v>
      </c>
      <c r="F71" s="40" t="s">
        <v>163</v>
      </c>
      <c r="G71" s="40" t="s">
        <v>239</v>
      </c>
      <c r="H71" s="40" t="s">
        <v>33</v>
      </c>
      <c r="I71" s="40" t="s">
        <v>34</v>
      </c>
    </row>
    <row r="72" spans="1:9" x14ac:dyDescent="0.25">
      <c r="A72" s="39" t="s">
        <v>240</v>
      </c>
      <c r="B72" s="39">
        <v>2016</v>
      </c>
      <c r="C72" s="39" t="s">
        <v>10</v>
      </c>
      <c r="D72" s="39">
        <v>8.6999999999999993</v>
      </c>
      <c r="E72" s="39">
        <v>88</v>
      </c>
      <c r="F72" s="39" t="s">
        <v>38</v>
      </c>
      <c r="G72" s="39" t="s">
        <v>241</v>
      </c>
      <c r="H72" s="39" t="s">
        <v>29</v>
      </c>
      <c r="I72" s="39" t="s">
        <v>14</v>
      </c>
    </row>
    <row r="73" spans="1:9" x14ac:dyDescent="0.25">
      <c r="A73" s="40" t="s">
        <v>242</v>
      </c>
      <c r="B73" s="40">
        <v>2014</v>
      </c>
      <c r="C73" s="40" t="s">
        <v>10</v>
      </c>
      <c r="D73" s="40">
        <v>8.4</v>
      </c>
      <c r="E73" s="40">
        <v>88</v>
      </c>
      <c r="F73" s="40" t="s">
        <v>27</v>
      </c>
      <c r="G73" s="40" t="s">
        <v>243</v>
      </c>
      <c r="H73" s="40" t="s">
        <v>13</v>
      </c>
      <c r="I73" s="40" t="s">
        <v>244</v>
      </c>
    </row>
    <row r="74" spans="1:9" x14ac:dyDescent="0.25">
      <c r="A74" s="39" t="s">
        <v>245</v>
      </c>
      <c r="B74" s="39">
        <v>2019</v>
      </c>
      <c r="C74" s="39" t="s">
        <v>10</v>
      </c>
      <c r="D74" s="39">
        <v>8.9</v>
      </c>
      <c r="E74" s="39">
        <v>88</v>
      </c>
      <c r="F74" s="39" t="s">
        <v>246</v>
      </c>
      <c r="G74" s="39" t="s">
        <v>247</v>
      </c>
      <c r="H74" s="39" t="s">
        <v>40</v>
      </c>
      <c r="I74" s="39" t="s">
        <v>154</v>
      </c>
    </row>
    <row r="75" spans="1:9" x14ac:dyDescent="0.25">
      <c r="A75" s="40" t="s">
        <v>248</v>
      </c>
      <c r="B75" s="40">
        <v>1999</v>
      </c>
      <c r="C75" s="40" t="s">
        <v>26</v>
      </c>
      <c r="D75" s="40">
        <v>8.4</v>
      </c>
      <c r="E75" s="40">
        <v>88</v>
      </c>
      <c r="F75" s="40" t="s">
        <v>249</v>
      </c>
      <c r="G75" s="40" t="s">
        <v>250</v>
      </c>
      <c r="H75" s="40" t="s">
        <v>18</v>
      </c>
      <c r="I75" s="40" t="s">
        <v>251</v>
      </c>
    </row>
    <row r="76" spans="1:9" x14ac:dyDescent="0.25">
      <c r="A76" s="39" t="s">
        <v>252</v>
      </c>
      <c r="B76" s="39">
        <v>2008</v>
      </c>
      <c r="C76" s="39" t="s">
        <v>10</v>
      </c>
      <c r="D76" s="39">
        <v>8.6</v>
      </c>
      <c r="E76" s="39">
        <v>88</v>
      </c>
      <c r="F76" s="39" t="s">
        <v>11</v>
      </c>
      <c r="G76" s="39" t="s">
        <v>253</v>
      </c>
      <c r="H76" s="39" t="s">
        <v>149</v>
      </c>
      <c r="I76" s="39" t="s">
        <v>46</v>
      </c>
    </row>
    <row r="77" spans="1:9" x14ac:dyDescent="0.25">
      <c r="A77" s="40" t="s">
        <v>254</v>
      </c>
      <c r="B77" s="40">
        <v>2009</v>
      </c>
      <c r="C77" s="40" t="s">
        <v>26</v>
      </c>
      <c r="D77" s="40">
        <v>7.7</v>
      </c>
      <c r="E77" s="40">
        <v>88</v>
      </c>
      <c r="F77" s="40" t="s">
        <v>27</v>
      </c>
      <c r="G77" s="40" t="s">
        <v>255</v>
      </c>
      <c r="H77" s="40" t="s">
        <v>60</v>
      </c>
      <c r="I77" s="40" t="s">
        <v>154</v>
      </c>
    </row>
    <row r="78" spans="1:9" x14ac:dyDescent="0.25">
      <c r="A78" s="39" t="s">
        <v>256</v>
      </c>
      <c r="B78" s="39">
        <v>2005</v>
      </c>
      <c r="C78" s="39" t="s">
        <v>26</v>
      </c>
      <c r="D78" s="39">
        <v>8.3000000000000007</v>
      </c>
      <c r="E78" s="39">
        <v>88</v>
      </c>
      <c r="F78" s="39" t="s">
        <v>206</v>
      </c>
      <c r="G78" s="39" t="s">
        <v>257</v>
      </c>
      <c r="H78" s="39" t="s">
        <v>13</v>
      </c>
      <c r="I78" s="39" t="s">
        <v>46</v>
      </c>
    </row>
    <row r="79" spans="1:9" x14ac:dyDescent="0.25">
      <c r="A79" s="40" t="s">
        <v>258</v>
      </c>
      <c r="B79" s="40">
        <v>2012</v>
      </c>
      <c r="C79" s="40" t="s">
        <v>48</v>
      </c>
      <c r="D79" s="40">
        <v>8.4</v>
      </c>
      <c r="E79" s="40">
        <v>88</v>
      </c>
      <c r="F79" s="40" t="s">
        <v>49</v>
      </c>
      <c r="G79" s="40" t="s">
        <v>259</v>
      </c>
      <c r="H79" s="40" t="s">
        <v>23</v>
      </c>
      <c r="I79" s="40" t="s">
        <v>260</v>
      </c>
    </row>
    <row r="80" spans="1:9" x14ac:dyDescent="0.25">
      <c r="A80" s="39" t="s">
        <v>261</v>
      </c>
      <c r="B80" s="39">
        <v>2009</v>
      </c>
      <c r="C80" s="39" t="s">
        <v>10</v>
      </c>
      <c r="D80" s="39">
        <v>8.6</v>
      </c>
      <c r="E80" s="39">
        <v>88</v>
      </c>
      <c r="F80" s="39" t="s">
        <v>31</v>
      </c>
      <c r="G80" s="39" t="s">
        <v>262</v>
      </c>
      <c r="H80" s="39" t="s">
        <v>263</v>
      </c>
      <c r="I80" s="39" t="s">
        <v>264</v>
      </c>
    </row>
    <row r="81" spans="1:9" x14ac:dyDescent="0.25">
      <c r="A81" s="40" t="s">
        <v>265</v>
      </c>
      <c r="B81" s="40">
        <v>2012</v>
      </c>
      <c r="C81" s="40" t="s">
        <v>48</v>
      </c>
      <c r="D81" s="40">
        <v>8.9</v>
      </c>
      <c r="E81" s="40">
        <v>88</v>
      </c>
      <c r="F81" s="40" t="s">
        <v>21</v>
      </c>
      <c r="G81" s="40" t="s">
        <v>266</v>
      </c>
      <c r="H81" s="40" t="s">
        <v>33</v>
      </c>
      <c r="I81" s="40" t="s">
        <v>267</v>
      </c>
    </row>
    <row r="82" spans="1:9" x14ac:dyDescent="0.25">
      <c r="A82" s="39" t="s">
        <v>268</v>
      </c>
      <c r="B82" s="39">
        <v>2003</v>
      </c>
      <c r="C82" s="39" t="s">
        <v>26</v>
      </c>
      <c r="D82" s="39">
        <v>8.6999999999999993</v>
      </c>
      <c r="E82" s="39">
        <v>88</v>
      </c>
      <c r="F82" s="39" t="s">
        <v>269</v>
      </c>
      <c r="G82" s="39" t="s">
        <v>270</v>
      </c>
      <c r="H82" s="39" t="s">
        <v>13</v>
      </c>
      <c r="I82" s="39" t="s">
        <v>271</v>
      </c>
    </row>
    <row r="83" spans="1:9" x14ac:dyDescent="0.25">
      <c r="A83" s="40" t="s">
        <v>272</v>
      </c>
      <c r="B83" s="40">
        <v>2013</v>
      </c>
      <c r="C83" s="40" t="s">
        <v>26</v>
      </c>
      <c r="D83" s="40">
        <v>8</v>
      </c>
      <c r="E83" s="40">
        <v>88</v>
      </c>
      <c r="F83" s="40" t="s">
        <v>273</v>
      </c>
      <c r="G83" s="40" t="s">
        <v>274</v>
      </c>
      <c r="H83" s="40" t="s">
        <v>149</v>
      </c>
      <c r="I83" s="40" t="s">
        <v>216</v>
      </c>
    </row>
    <row r="84" spans="1:9" x14ac:dyDescent="0.25">
      <c r="A84" s="39" t="s">
        <v>275</v>
      </c>
      <c r="B84" s="39">
        <v>2018</v>
      </c>
      <c r="C84" s="39" t="s">
        <v>26</v>
      </c>
      <c r="D84" s="39">
        <v>8.3000000000000007</v>
      </c>
      <c r="E84" s="39">
        <v>88</v>
      </c>
      <c r="F84" s="39" t="s">
        <v>276</v>
      </c>
      <c r="G84" s="39" t="s">
        <v>277</v>
      </c>
      <c r="H84" s="39" t="s">
        <v>29</v>
      </c>
      <c r="I84" s="39" t="s">
        <v>278</v>
      </c>
    </row>
    <row r="85" spans="1:9" x14ac:dyDescent="0.25">
      <c r="A85" s="40" t="s">
        <v>279</v>
      </c>
      <c r="B85" s="40">
        <v>2014</v>
      </c>
      <c r="C85" s="40" t="s">
        <v>10</v>
      </c>
      <c r="D85" s="40">
        <v>8.9</v>
      </c>
      <c r="E85" s="40">
        <v>87</v>
      </c>
      <c r="F85" s="40" t="s">
        <v>280</v>
      </c>
      <c r="G85" s="40" t="s">
        <v>281</v>
      </c>
      <c r="H85" s="40" t="s">
        <v>127</v>
      </c>
      <c r="I85" s="40" t="s">
        <v>19</v>
      </c>
    </row>
    <row r="86" spans="1:9" x14ac:dyDescent="0.25">
      <c r="A86" s="39" t="s">
        <v>282</v>
      </c>
      <c r="B86" s="39">
        <v>2018</v>
      </c>
      <c r="C86" s="39" t="s">
        <v>10</v>
      </c>
      <c r="D86" s="39">
        <v>8.6999999999999993</v>
      </c>
      <c r="E86" s="39">
        <v>87</v>
      </c>
      <c r="F86" s="39" t="s">
        <v>206</v>
      </c>
      <c r="G86" s="39" t="s">
        <v>283</v>
      </c>
      <c r="H86" s="39" t="s">
        <v>284</v>
      </c>
      <c r="I86" s="39" t="s">
        <v>14</v>
      </c>
    </row>
    <row r="87" spans="1:9" x14ac:dyDescent="0.25">
      <c r="A87" s="40" t="s">
        <v>285</v>
      </c>
      <c r="B87" s="40">
        <v>2013</v>
      </c>
      <c r="C87" s="40" t="s">
        <v>10</v>
      </c>
      <c r="D87" s="40">
        <v>8.1</v>
      </c>
      <c r="E87" s="40">
        <v>87</v>
      </c>
      <c r="F87" s="40" t="s">
        <v>130</v>
      </c>
      <c r="G87" s="40" t="s">
        <v>286</v>
      </c>
      <c r="H87" s="40" t="s">
        <v>127</v>
      </c>
      <c r="I87" s="40" t="s">
        <v>14</v>
      </c>
    </row>
    <row r="88" spans="1:9" x14ac:dyDescent="0.25">
      <c r="A88" s="39" t="s">
        <v>287</v>
      </c>
      <c r="B88" s="39">
        <v>2018</v>
      </c>
      <c r="C88" s="39" t="s">
        <v>10</v>
      </c>
      <c r="D88" s="39">
        <v>8.5</v>
      </c>
      <c r="E88" s="39">
        <v>87</v>
      </c>
      <c r="F88" s="39" t="s">
        <v>288</v>
      </c>
      <c r="G88" s="39" t="s">
        <v>289</v>
      </c>
      <c r="H88" s="39" t="s">
        <v>29</v>
      </c>
      <c r="I88" s="39" t="s">
        <v>290</v>
      </c>
    </row>
    <row r="89" spans="1:9" x14ac:dyDescent="0.25">
      <c r="A89" s="40" t="s">
        <v>291</v>
      </c>
      <c r="B89" s="40">
        <v>2014</v>
      </c>
      <c r="C89" s="40" t="s">
        <v>10</v>
      </c>
      <c r="D89" s="40">
        <v>8.5</v>
      </c>
      <c r="E89" s="40">
        <v>87</v>
      </c>
      <c r="F89" s="40" t="s">
        <v>163</v>
      </c>
      <c r="G89" s="40" t="s">
        <v>292</v>
      </c>
      <c r="H89" s="40" t="s">
        <v>111</v>
      </c>
      <c r="I89" s="40" t="s">
        <v>19</v>
      </c>
    </row>
    <row r="90" spans="1:9" x14ac:dyDescent="0.25">
      <c r="A90" s="39" t="s">
        <v>293</v>
      </c>
      <c r="B90" s="39">
        <v>2019</v>
      </c>
      <c r="C90" s="39" t="s">
        <v>10</v>
      </c>
      <c r="D90" s="39">
        <v>8.4</v>
      </c>
      <c r="E90" s="39">
        <v>87</v>
      </c>
      <c r="F90" s="39" t="s">
        <v>294</v>
      </c>
      <c r="G90" s="39" t="s">
        <v>295</v>
      </c>
      <c r="H90" s="39" t="s">
        <v>80</v>
      </c>
      <c r="I90" s="39" t="s">
        <v>19</v>
      </c>
    </row>
    <row r="91" spans="1:9" x14ac:dyDescent="0.25">
      <c r="A91" s="40" t="s">
        <v>296</v>
      </c>
      <c r="B91" s="40">
        <v>1993</v>
      </c>
      <c r="C91" s="40" t="s">
        <v>26</v>
      </c>
      <c r="D91" s="40">
        <v>8.6</v>
      </c>
      <c r="E91" s="40">
        <v>87</v>
      </c>
      <c r="F91" s="40" t="s">
        <v>76</v>
      </c>
      <c r="G91" s="40" t="s">
        <v>297</v>
      </c>
      <c r="H91" s="40" t="s">
        <v>263</v>
      </c>
      <c r="I91" s="40" t="s">
        <v>298</v>
      </c>
    </row>
    <row r="92" spans="1:9" x14ac:dyDescent="0.25">
      <c r="A92" s="39" t="s">
        <v>299</v>
      </c>
      <c r="B92" s="39">
        <v>2014</v>
      </c>
      <c r="C92" s="39" t="s">
        <v>48</v>
      </c>
      <c r="D92" s="39">
        <v>7.7</v>
      </c>
      <c r="E92" s="39">
        <v>87</v>
      </c>
      <c r="F92" s="39" t="s">
        <v>206</v>
      </c>
      <c r="G92" s="39" t="s">
        <v>300</v>
      </c>
      <c r="H92" s="39" t="s">
        <v>111</v>
      </c>
      <c r="I92" s="39" t="s">
        <v>154</v>
      </c>
    </row>
    <row r="93" spans="1:9" x14ac:dyDescent="0.25">
      <c r="A93" s="40" t="s">
        <v>301</v>
      </c>
      <c r="B93" s="40">
        <v>2010</v>
      </c>
      <c r="C93" s="40" t="s">
        <v>10</v>
      </c>
      <c r="D93" s="40">
        <v>8.6</v>
      </c>
      <c r="E93" s="40">
        <v>87</v>
      </c>
      <c r="F93" s="40" t="s">
        <v>42</v>
      </c>
      <c r="G93" s="40" t="s">
        <v>302</v>
      </c>
      <c r="H93" s="40" t="s">
        <v>123</v>
      </c>
      <c r="I93" s="40" t="s">
        <v>46</v>
      </c>
    </row>
    <row r="94" spans="1:9" x14ac:dyDescent="0.25">
      <c r="A94" s="39" t="s">
        <v>303</v>
      </c>
      <c r="B94" s="39">
        <v>2013</v>
      </c>
      <c r="C94" s="39" t="s">
        <v>10</v>
      </c>
      <c r="D94" s="39">
        <v>8.4</v>
      </c>
      <c r="E94" s="39">
        <v>87</v>
      </c>
      <c r="F94" s="39" t="s">
        <v>304</v>
      </c>
      <c r="G94" s="39" t="s">
        <v>305</v>
      </c>
      <c r="H94" s="39" t="s">
        <v>111</v>
      </c>
      <c r="I94" s="39" t="s">
        <v>34</v>
      </c>
    </row>
    <row r="95" spans="1:9" x14ac:dyDescent="0.25">
      <c r="A95" s="40" t="s">
        <v>306</v>
      </c>
      <c r="B95" s="40">
        <v>2016</v>
      </c>
      <c r="C95" s="40" t="s">
        <v>26</v>
      </c>
      <c r="D95" s="40">
        <v>8.6999999999999993</v>
      </c>
      <c r="E95" s="40">
        <v>87</v>
      </c>
      <c r="F95" s="40" t="s">
        <v>175</v>
      </c>
      <c r="G95" s="40" t="s">
        <v>307</v>
      </c>
      <c r="H95" s="40" t="s">
        <v>223</v>
      </c>
      <c r="I95" s="40" t="s">
        <v>308</v>
      </c>
    </row>
    <row r="96" spans="1:9" x14ac:dyDescent="0.25">
      <c r="A96" s="39" t="s">
        <v>309</v>
      </c>
      <c r="B96" s="39">
        <v>2010</v>
      </c>
      <c r="C96" s="39" t="s">
        <v>48</v>
      </c>
      <c r="D96" s="39">
        <v>8.6</v>
      </c>
      <c r="E96" s="39">
        <v>87</v>
      </c>
      <c r="F96" s="39" t="s">
        <v>310</v>
      </c>
      <c r="G96" s="39" t="s">
        <v>311</v>
      </c>
      <c r="H96" s="39" t="s">
        <v>263</v>
      </c>
      <c r="I96" s="39" t="s">
        <v>24</v>
      </c>
    </row>
    <row r="97" spans="1:9" x14ac:dyDescent="0.25">
      <c r="A97" s="40" t="s">
        <v>312</v>
      </c>
      <c r="B97" s="40">
        <v>2014</v>
      </c>
      <c r="C97" s="40" t="s">
        <v>10</v>
      </c>
      <c r="D97" s="40">
        <v>8.6999999999999993</v>
      </c>
      <c r="E97" s="40">
        <v>87</v>
      </c>
      <c r="F97" s="40" t="s">
        <v>21</v>
      </c>
      <c r="G97" s="40" t="s">
        <v>313</v>
      </c>
      <c r="H97" s="40" t="s">
        <v>111</v>
      </c>
      <c r="I97" s="40" t="s">
        <v>14</v>
      </c>
    </row>
    <row r="98" spans="1:9" x14ac:dyDescent="0.25">
      <c r="A98" s="39" t="s">
        <v>314</v>
      </c>
      <c r="B98" s="39">
        <v>2017</v>
      </c>
      <c r="C98" s="39" t="s">
        <v>10</v>
      </c>
      <c r="D98" s="39">
        <v>8.6999999999999993</v>
      </c>
      <c r="E98" s="39">
        <v>87</v>
      </c>
      <c r="F98" s="39" t="s">
        <v>196</v>
      </c>
      <c r="G98" s="39" t="s">
        <v>315</v>
      </c>
      <c r="H98" s="39" t="s">
        <v>29</v>
      </c>
      <c r="I98" s="39" t="s">
        <v>34</v>
      </c>
    </row>
    <row r="99" spans="1:9" x14ac:dyDescent="0.25">
      <c r="A99" s="40" t="s">
        <v>316</v>
      </c>
      <c r="B99" s="40">
        <v>2017</v>
      </c>
      <c r="C99" s="40" t="s">
        <v>10</v>
      </c>
      <c r="D99" s="40">
        <v>8.1</v>
      </c>
      <c r="E99" s="40">
        <v>87</v>
      </c>
      <c r="F99" s="40" t="s">
        <v>31</v>
      </c>
      <c r="G99" s="40" t="s">
        <v>317</v>
      </c>
      <c r="H99" s="40" t="s">
        <v>284</v>
      </c>
      <c r="I99" s="40" t="s">
        <v>14</v>
      </c>
    </row>
    <row r="100" spans="1:9" x14ac:dyDescent="0.25">
      <c r="A100" s="39" t="s">
        <v>318</v>
      </c>
      <c r="B100" s="39">
        <v>2017</v>
      </c>
      <c r="C100" s="39" t="s">
        <v>10</v>
      </c>
      <c r="D100" s="39">
        <v>8.5</v>
      </c>
      <c r="E100" s="39">
        <v>87</v>
      </c>
      <c r="F100" s="39" t="s">
        <v>11</v>
      </c>
      <c r="G100" s="39" t="s">
        <v>319</v>
      </c>
      <c r="H100" s="39" t="s">
        <v>33</v>
      </c>
      <c r="I100" s="39" t="s">
        <v>19</v>
      </c>
    </row>
    <row r="101" spans="1:9" x14ac:dyDescent="0.25">
      <c r="A101" s="40" t="s">
        <v>320</v>
      </c>
      <c r="B101" s="40">
        <v>2010</v>
      </c>
      <c r="C101" s="40" t="s">
        <v>10</v>
      </c>
      <c r="D101" s="40">
        <v>8.5</v>
      </c>
      <c r="E101" s="40">
        <v>86</v>
      </c>
      <c r="F101" s="40" t="s">
        <v>11</v>
      </c>
      <c r="G101" s="40" t="s">
        <v>321</v>
      </c>
      <c r="H101" s="40" t="s">
        <v>13</v>
      </c>
      <c r="I101" s="40" t="s">
        <v>322</v>
      </c>
    </row>
    <row r="102" spans="1:9" x14ac:dyDescent="0.25">
      <c r="A102" s="39" t="s">
        <v>323</v>
      </c>
      <c r="B102" s="39">
        <v>2000</v>
      </c>
      <c r="C102" s="39" t="s">
        <v>10</v>
      </c>
      <c r="D102" s="39">
        <v>8.6999999999999993</v>
      </c>
      <c r="E102" s="39">
        <v>86</v>
      </c>
      <c r="F102" s="39" t="s">
        <v>324</v>
      </c>
      <c r="G102" s="39" t="s">
        <v>325</v>
      </c>
      <c r="H102" s="39" t="s">
        <v>165</v>
      </c>
      <c r="I102" s="39" t="s">
        <v>19</v>
      </c>
    </row>
    <row r="103" spans="1:9" x14ac:dyDescent="0.25">
      <c r="A103" s="40" t="s">
        <v>326</v>
      </c>
      <c r="B103" s="40">
        <v>2016</v>
      </c>
      <c r="C103" s="40" t="s">
        <v>10</v>
      </c>
      <c r="D103" s="40">
        <v>8.4</v>
      </c>
      <c r="E103" s="40">
        <v>86</v>
      </c>
      <c r="F103" s="40" t="s">
        <v>327</v>
      </c>
      <c r="G103" s="40" t="s">
        <v>328</v>
      </c>
      <c r="H103" s="40" t="s">
        <v>33</v>
      </c>
      <c r="I103" s="40" t="s">
        <v>14</v>
      </c>
    </row>
    <row r="104" spans="1:9" x14ac:dyDescent="0.25">
      <c r="A104" s="39" t="s">
        <v>329</v>
      </c>
      <c r="B104" s="39">
        <v>2019</v>
      </c>
      <c r="C104" s="39" t="s">
        <v>10</v>
      </c>
      <c r="D104" s="39">
        <v>8.4</v>
      </c>
      <c r="E104" s="39">
        <v>86</v>
      </c>
      <c r="F104" s="39" t="s">
        <v>11</v>
      </c>
      <c r="G104" s="39" t="s">
        <v>330</v>
      </c>
      <c r="H104" s="39" t="s">
        <v>40</v>
      </c>
      <c r="I104" s="39" t="s">
        <v>14</v>
      </c>
    </row>
    <row r="105" spans="1:9" x14ac:dyDescent="0.25">
      <c r="A105" s="40" t="s">
        <v>331</v>
      </c>
      <c r="B105" s="40">
        <v>2010</v>
      </c>
      <c r="C105" s="40" t="s">
        <v>10</v>
      </c>
      <c r="D105" s="40">
        <v>8.5</v>
      </c>
      <c r="E105" s="40">
        <v>86</v>
      </c>
      <c r="F105" s="40" t="s">
        <v>11</v>
      </c>
      <c r="G105" s="40" t="s">
        <v>332</v>
      </c>
      <c r="H105" s="40" t="s">
        <v>97</v>
      </c>
      <c r="I105" s="40" t="s">
        <v>19</v>
      </c>
    </row>
    <row r="106" spans="1:9" x14ac:dyDescent="0.25">
      <c r="A106" s="39" t="s">
        <v>333</v>
      </c>
      <c r="B106" s="39">
        <v>2013</v>
      </c>
      <c r="C106" s="39" t="s">
        <v>10</v>
      </c>
      <c r="D106" s="39">
        <v>8.3000000000000007</v>
      </c>
      <c r="E106" s="39">
        <v>86</v>
      </c>
      <c r="F106" s="39" t="s">
        <v>106</v>
      </c>
      <c r="G106" s="39" t="s">
        <v>334</v>
      </c>
      <c r="H106" s="39" t="s">
        <v>13</v>
      </c>
      <c r="I106" s="39" t="s">
        <v>335</v>
      </c>
    </row>
    <row r="107" spans="1:9" x14ac:dyDescent="0.25">
      <c r="A107" s="40" t="s">
        <v>336</v>
      </c>
      <c r="B107" s="40">
        <v>2015</v>
      </c>
      <c r="C107" s="40" t="s">
        <v>10</v>
      </c>
      <c r="D107" s="40">
        <v>8.4</v>
      </c>
      <c r="E107" s="40">
        <v>86</v>
      </c>
      <c r="F107" s="40" t="s">
        <v>337</v>
      </c>
      <c r="G107" s="40" t="s">
        <v>338</v>
      </c>
      <c r="H107" s="40" t="s">
        <v>23</v>
      </c>
      <c r="I107" s="40" t="s">
        <v>14</v>
      </c>
    </row>
    <row r="108" spans="1:9" x14ac:dyDescent="0.25">
      <c r="A108" s="39" t="s">
        <v>339</v>
      </c>
      <c r="B108" s="39">
        <v>2005</v>
      </c>
      <c r="C108" s="39" t="s">
        <v>10</v>
      </c>
      <c r="D108" s="39">
        <v>8.6999999999999993</v>
      </c>
      <c r="E108" s="39">
        <v>86</v>
      </c>
      <c r="F108" s="39" t="s">
        <v>16</v>
      </c>
      <c r="G108" s="39" t="s">
        <v>340</v>
      </c>
      <c r="H108" s="39" t="s">
        <v>33</v>
      </c>
      <c r="I108" s="39" t="s">
        <v>19</v>
      </c>
    </row>
    <row r="109" spans="1:9" x14ac:dyDescent="0.25">
      <c r="A109" s="40" t="s">
        <v>341</v>
      </c>
      <c r="B109" s="40">
        <v>1992</v>
      </c>
      <c r="C109" s="40" t="s">
        <v>48</v>
      </c>
      <c r="D109" s="40">
        <v>9</v>
      </c>
      <c r="E109" s="40">
        <v>86</v>
      </c>
      <c r="F109" s="40" t="s">
        <v>49</v>
      </c>
      <c r="G109" s="40" t="s">
        <v>342</v>
      </c>
      <c r="H109" s="40" t="s">
        <v>13</v>
      </c>
      <c r="I109" s="40" t="s">
        <v>343</v>
      </c>
    </row>
    <row r="110" spans="1:9" x14ac:dyDescent="0.25">
      <c r="A110" s="39" t="s">
        <v>344</v>
      </c>
      <c r="B110" s="39">
        <v>2015</v>
      </c>
      <c r="C110" s="39" t="s">
        <v>10</v>
      </c>
      <c r="D110" s="39">
        <v>8.3000000000000007</v>
      </c>
      <c r="E110" s="39">
        <v>86</v>
      </c>
      <c r="F110" s="39" t="s">
        <v>294</v>
      </c>
      <c r="G110" s="39" t="s">
        <v>345</v>
      </c>
      <c r="H110" s="39" t="s">
        <v>33</v>
      </c>
      <c r="I110" s="39" t="s">
        <v>14</v>
      </c>
    </row>
    <row r="111" spans="1:9" x14ac:dyDescent="0.25">
      <c r="A111" s="40" t="s">
        <v>346</v>
      </c>
      <c r="B111" s="40">
        <v>2001</v>
      </c>
      <c r="C111" s="40" t="s">
        <v>10</v>
      </c>
      <c r="D111" s="40">
        <v>8.6999999999999993</v>
      </c>
      <c r="E111" s="40">
        <v>86</v>
      </c>
      <c r="F111" s="40" t="s">
        <v>175</v>
      </c>
      <c r="G111" s="40" t="s">
        <v>347</v>
      </c>
      <c r="H111" s="40" t="s">
        <v>13</v>
      </c>
      <c r="I111" s="40" t="s">
        <v>348</v>
      </c>
    </row>
    <row r="112" spans="1:9" x14ac:dyDescent="0.25">
      <c r="A112" s="39" t="s">
        <v>349</v>
      </c>
      <c r="B112" s="39">
        <v>2014</v>
      </c>
      <c r="C112" s="39" t="s">
        <v>10</v>
      </c>
      <c r="D112" s="39">
        <v>8.1999999999999993</v>
      </c>
      <c r="E112" s="39">
        <v>86</v>
      </c>
      <c r="F112" s="39" t="s">
        <v>350</v>
      </c>
      <c r="G112" s="39" t="s">
        <v>351</v>
      </c>
      <c r="H112" s="39" t="s">
        <v>189</v>
      </c>
      <c r="I112" s="39" t="s">
        <v>166</v>
      </c>
    </row>
    <row r="113" spans="1:9" x14ac:dyDescent="0.25">
      <c r="A113" s="40" t="s">
        <v>352</v>
      </c>
      <c r="B113" s="40">
        <v>2020</v>
      </c>
      <c r="C113" s="40" t="s">
        <v>26</v>
      </c>
      <c r="D113" s="40">
        <v>8.6</v>
      </c>
      <c r="E113" s="40">
        <v>86</v>
      </c>
      <c r="F113" s="40" t="s">
        <v>225</v>
      </c>
      <c r="G113" s="40" t="s">
        <v>353</v>
      </c>
      <c r="H113" s="40" t="s">
        <v>40</v>
      </c>
      <c r="I113" s="40" t="s">
        <v>46</v>
      </c>
    </row>
    <row r="114" spans="1:9" x14ac:dyDescent="0.25">
      <c r="A114" s="39" t="s">
        <v>354</v>
      </c>
      <c r="B114" s="39">
        <v>2001</v>
      </c>
      <c r="C114" s="39" t="s">
        <v>26</v>
      </c>
      <c r="D114" s="39">
        <v>8.3000000000000007</v>
      </c>
      <c r="E114" s="39">
        <v>86</v>
      </c>
      <c r="F114" s="39" t="s">
        <v>163</v>
      </c>
      <c r="G114" s="39" t="s">
        <v>355</v>
      </c>
      <c r="H114" s="39" t="s">
        <v>60</v>
      </c>
      <c r="I114" s="39" t="s">
        <v>356</v>
      </c>
    </row>
    <row r="115" spans="1:9" x14ac:dyDescent="0.25">
      <c r="A115" s="40" t="s">
        <v>357</v>
      </c>
      <c r="B115" s="40">
        <v>2006</v>
      </c>
      <c r="C115" s="40" t="s">
        <v>26</v>
      </c>
      <c r="D115" s="40">
        <v>8.5</v>
      </c>
      <c r="E115" s="40">
        <v>86</v>
      </c>
      <c r="F115" s="40" t="s">
        <v>358</v>
      </c>
      <c r="G115" s="40" t="s">
        <v>359</v>
      </c>
      <c r="H115" s="40" t="s">
        <v>13</v>
      </c>
      <c r="I115" s="40" t="s">
        <v>154</v>
      </c>
    </row>
    <row r="116" spans="1:9" x14ac:dyDescent="0.25">
      <c r="A116" s="39" t="s">
        <v>360</v>
      </c>
      <c r="B116" s="39">
        <v>2011</v>
      </c>
      <c r="C116" s="39" t="s">
        <v>48</v>
      </c>
      <c r="D116" s="39">
        <v>7.7</v>
      </c>
      <c r="E116" s="39">
        <v>86</v>
      </c>
      <c r="F116" s="39" t="s">
        <v>27</v>
      </c>
      <c r="G116" s="39" t="s">
        <v>361</v>
      </c>
      <c r="H116" s="39" t="s">
        <v>149</v>
      </c>
      <c r="I116" s="39" t="s">
        <v>14</v>
      </c>
    </row>
    <row r="117" spans="1:9" x14ac:dyDescent="0.25">
      <c r="A117" s="40" t="s">
        <v>362</v>
      </c>
      <c r="B117" s="40">
        <v>1987</v>
      </c>
      <c r="C117" s="40" t="s">
        <v>48</v>
      </c>
      <c r="D117" s="40">
        <v>8.6</v>
      </c>
      <c r="E117" s="40">
        <v>86</v>
      </c>
      <c r="F117" s="40" t="s">
        <v>16</v>
      </c>
      <c r="G117" s="40" t="s">
        <v>363</v>
      </c>
      <c r="H117" s="40" t="s">
        <v>127</v>
      </c>
      <c r="I117" s="40" t="s">
        <v>364</v>
      </c>
    </row>
    <row r="118" spans="1:9" x14ac:dyDescent="0.25">
      <c r="A118" s="39" t="s">
        <v>365</v>
      </c>
      <c r="B118" s="39">
        <v>2013</v>
      </c>
      <c r="C118" s="39" t="s">
        <v>10</v>
      </c>
      <c r="D118" s="39">
        <v>8.4</v>
      </c>
      <c r="E118" s="39">
        <v>86</v>
      </c>
      <c r="F118" s="39" t="s">
        <v>11</v>
      </c>
      <c r="G118" s="39" t="s">
        <v>366</v>
      </c>
      <c r="H118" s="39" t="s">
        <v>29</v>
      </c>
      <c r="I118" s="39" t="s">
        <v>14</v>
      </c>
    </row>
    <row r="119" spans="1:9" x14ac:dyDescent="0.25">
      <c r="A119" s="40" t="s">
        <v>367</v>
      </c>
      <c r="B119" s="40">
        <v>1995</v>
      </c>
      <c r="C119" s="40" t="s">
        <v>368</v>
      </c>
      <c r="D119" s="40">
        <v>8.8000000000000007</v>
      </c>
      <c r="E119" s="40">
        <v>86</v>
      </c>
      <c r="F119" s="40" t="s">
        <v>225</v>
      </c>
      <c r="G119" s="40" t="s">
        <v>369</v>
      </c>
      <c r="H119" s="40" t="s">
        <v>40</v>
      </c>
      <c r="I119" s="40" t="s">
        <v>370</v>
      </c>
    </row>
    <row r="120" spans="1:9" x14ac:dyDescent="0.25">
      <c r="A120" s="39" t="s">
        <v>371</v>
      </c>
      <c r="B120" s="39">
        <v>2012</v>
      </c>
      <c r="C120" s="39" t="s">
        <v>26</v>
      </c>
      <c r="D120" s="39">
        <v>7.5</v>
      </c>
      <c r="E120" s="39">
        <v>86</v>
      </c>
      <c r="F120" s="39" t="s">
        <v>206</v>
      </c>
      <c r="G120" s="39" t="s">
        <v>372</v>
      </c>
      <c r="H120" s="39" t="s">
        <v>18</v>
      </c>
      <c r="I120" s="39" t="s">
        <v>154</v>
      </c>
    </row>
    <row r="121" spans="1:9" x14ac:dyDescent="0.25">
      <c r="A121" s="40" t="s">
        <v>373</v>
      </c>
      <c r="B121" s="40">
        <v>2007</v>
      </c>
      <c r="C121" s="40" t="s">
        <v>26</v>
      </c>
      <c r="D121" s="40">
        <v>8.1999999999999993</v>
      </c>
      <c r="E121" s="40">
        <v>86</v>
      </c>
      <c r="F121" s="40" t="s">
        <v>31</v>
      </c>
      <c r="G121" s="40" t="s">
        <v>374</v>
      </c>
      <c r="H121" s="40" t="s">
        <v>13</v>
      </c>
      <c r="I121" s="40" t="s">
        <v>34</v>
      </c>
    </row>
    <row r="122" spans="1:9" x14ac:dyDescent="0.25">
      <c r="A122" s="39" t="s">
        <v>375</v>
      </c>
      <c r="B122" s="39">
        <v>2016</v>
      </c>
      <c r="C122" s="39" t="s">
        <v>368</v>
      </c>
      <c r="D122" s="39">
        <v>9.5</v>
      </c>
      <c r="E122" s="39">
        <v>86</v>
      </c>
      <c r="F122" s="39" t="s">
        <v>376</v>
      </c>
      <c r="G122" s="39" t="s">
        <v>377</v>
      </c>
      <c r="H122" s="39" t="s">
        <v>40</v>
      </c>
      <c r="I122" s="39" t="s">
        <v>378</v>
      </c>
    </row>
    <row r="123" spans="1:9" x14ac:dyDescent="0.25">
      <c r="A123" s="40">
        <v>24</v>
      </c>
      <c r="B123" s="40">
        <v>2001</v>
      </c>
      <c r="C123" s="40" t="s">
        <v>26</v>
      </c>
      <c r="D123" s="40">
        <v>8.3000000000000007</v>
      </c>
      <c r="E123" s="40">
        <v>86</v>
      </c>
      <c r="F123" s="40" t="s">
        <v>16</v>
      </c>
      <c r="G123" s="40" t="s">
        <v>379</v>
      </c>
      <c r="H123" s="40" t="s">
        <v>380</v>
      </c>
      <c r="I123" s="40" t="s">
        <v>46</v>
      </c>
    </row>
    <row r="124" spans="1:9" x14ac:dyDescent="0.25">
      <c r="A124" s="39" t="s">
        <v>381</v>
      </c>
      <c r="B124" s="39">
        <v>2019</v>
      </c>
      <c r="C124" s="39" t="s">
        <v>10</v>
      </c>
      <c r="D124" s="39">
        <v>8.5</v>
      </c>
      <c r="E124" s="39">
        <v>85</v>
      </c>
      <c r="F124" s="39" t="s">
        <v>382</v>
      </c>
      <c r="G124" s="39" t="s">
        <v>383</v>
      </c>
      <c r="H124" s="39" t="s">
        <v>33</v>
      </c>
      <c r="I124" s="39" t="s">
        <v>46</v>
      </c>
    </row>
    <row r="125" spans="1:9" x14ac:dyDescent="0.25">
      <c r="A125" s="40" t="s">
        <v>384</v>
      </c>
      <c r="B125" s="40">
        <v>2016</v>
      </c>
      <c r="C125" s="40" t="s">
        <v>10</v>
      </c>
      <c r="D125" s="40">
        <v>8.5</v>
      </c>
      <c r="E125" s="40">
        <v>85</v>
      </c>
      <c r="F125" s="40" t="s">
        <v>304</v>
      </c>
      <c r="G125" s="40" t="s">
        <v>385</v>
      </c>
      <c r="H125" s="40" t="s">
        <v>40</v>
      </c>
      <c r="I125" s="40" t="s">
        <v>19</v>
      </c>
    </row>
    <row r="126" spans="1:9" x14ac:dyDescent="0.25">
      <c r="A126" s="39" t="s">
        <v>386</v>
      </c>
      <c r="B126" s="39">
        <v>1997</v>
      </c>
      <c r="C126" s="39" t="s">
        <v>48</v>
      </c>
      <c r="D126" s="39">
        <v>8.1999999999999993</v>
      </c>
      <c r="E126" s="39">
        <v>85</v>
      </c>
      <c r="F126" s="39" t="s">
        <v>31</v>
      </c>
      <c r="G126" s="39" t="s">
        <v>387</v>
      </c>
      <c r="H126" s="39" t="s">
        <v>149</v>
      </c>
      <c r="I126" s="39" t="s">
        <v>46</v>
      </c>
    </row>
    <row r="127" spans="1:9" x14ac:dyDescent="0.25">
      <c r="A127" s="40" t="s">
        <v>388</v>
      </c>
      <c r="B127" s="40">
        <v>2009</v>
      </c>
      <c r="C127" s="40" t="s">
        <v>26</v>
      </c>
      <c r="D127" s="40">
        <v>8.1999999999999993</v>
      </c>
      <c r="E127" s="40">
        <v>85</v>
      </c>
      <c r="F127" s="40" t="s">
        <v>42</v>
      </c>
      <c r="G127" s="40" t="s">
        <v>389</v>
      </c>
      <c r="H127" s="40" t="s">
        <v>111</v>
      </c>
      <c r="I127" s="40" t="s">
        <v>124</v>
      </c>
    </row>
    <row r="128" spans="1:9" x14ac:dyDescent="0.25">
      <c r="A128" s="39" t="s">
        <v>390</v>
      </c>
      <c r="B128" s="39">
        <v>2016</v>
      </c>
      <c r="C128" s="39" t="s">
        <v>10</v>
      </c>
      <c r="D128" s="39">
        <v>8.4</v>
      </c>
      <c r="E128" s="39">
        <v>85</v>
      </c>
      <c r="F128" s="39" t="s">
        <v>391</v>
      </c>
      <c r="G128" s="39" t="s">
        <v>392</v>
      </c>
      <c r="H128" s="39" t="s">
        <v>13</v>
      </c>
      <c r="I128" s="39" t="s">
        <v>213</v>
      </c>
    </row>
    <row r="129" spans="1:9" x14ac:dyDescent="0.25">
      <c r="A129" s="40" t="s">
        <v>393</v>
      </c>
      <c r="B129" s="40">
        <v>1999</v>
      </c>
      <c r="C129" s="40" t="s">
        <v>26</v>
      </c>
      <c r="D129" s="40">
        <v>8.8000000000000007</v>
      </c>
      <c r="E129" s="40">
        <v>85</v>
      </c>
      <c r="F129" s="40" t="s">
        <v>394</v>
      </c>
      <c r="G129" s="40" t="s">
        <v>395</v>
      </c>
      <c r="H129" s="40" t="s">
        <v>149</v>
      </c>
      <c r="I129" s="40" t="s">
        <v>14</v>
      </c>
    </row>
    <row r="130" spans="1:9" x14ac:dyDescent="0.25">
      <c r="A130" s="39" t="s">
        <v>396</v>
      </c>
      <c r="B130" s="39">
        <v>2019</v>
      </c>
      <c r="C130" s="39" t="s">
        <v>10</v>
      </c>
      <c r="D130" s="39">
        <v>8.5</v>
      </c>
      <c r="E130" s="39">
        <v>85</v>
      </c>
      <c r="F130" s="39" t="s">
        <v>397</v>
      </c>
      <c r="G130" s="39" t="s">
        <v>398</v>
      </c>
      <c r="H130" s="39" t="s">
        <v>40</v>
      </c>
      <c r="I130" s="39" t="s">
        <v>14</v>
      </c>
    </row>
    <row r="131" spans="1:9" x14ac:dyDescent="0.25">
      <c r="A131" s="40" t="s">
        <v>399</v>
      </c>
      <c r="B131" s="40">
        <v>2017</v>
      </c>
      <c r="C131" s="40" t="s">
        <v>26</v>
      </c>
      <c r="D131" s="40">
        <v>8.3000000000000007</v>
      </c>
      <c r="E131" s="40">
        <v>85</v>
      </c>
      <c r="F131" s="40" t="s">
        <v>106</v>
      </c>
      <c r="G131" s="40" t="s">
        <v>400</v>
      </c>
      <c r="H131" s="40" t="s">
        <v>189</v>
      </c>
      <c r="I131" s="40" t="s">
        <v>46</v>
      </c>
    </row>
    <row r="132" spans="1:9" x14ac:dyDescent="0.25">
      <c r="A132" s="39" t="s">
        <v>401</v>
      </c>
      <c r="B132" s="39">
        <v>2020</v>
      </c>
      <c r="C132" s="39" t="s">
        <v>10</v>
      </c>
      <c r="D132" s="39">
        <v>8.6</v>
      </c>
      <c r="E132" s="39">
        <v>85</v>
      </c>
      <c r="F132" s="39" t="s">
        <v>163</v>
      </c>
      <c r="G132" s="39" t="s">
        <v>402</v>
      </c>
      <c r="H132" s="39" t="s">
        <v>80</v>
      </c>
      <c r="I132" s="39" t="s">
        <v>403</v>
      </c>
    </row>
    <row r="133" spans="1:9" x14ac:dyDescent="0.25">
      <c r="A133" s="40" t="s">
        <v>404</v>
      </c>
      <c r="B133" s="40">
        <v>2006</v>
      </c>
      <c r="C133" s="40" t="s">
        <v>48</v>
      </c>
      <c r="D133" s="40">
        <v>8.3000000000000007</v>
      </c>
      <c r="E133" s="40">
        <v>85</v>
      </c>
      <c r="F133" s="40" t="s">
        <v>69</v>
      </c>
      <c r="G133" s="40" t="s">
        <v>405</v>
      </c>
      <c r="H133" s="40" t="s">
        <v>406</v>
      </c>
      <c r="I133" s="40" t="s">
        <v>177</v>
      </c>
    </row>
    <row r="134" spans="1:9" x14ac:dyDescent="0.25">
      <c r="A134" s="39" t="s">
        <v>407</v>
      </c>
      <c r="B134" s="39">
        <v>2015</v>
      </c>
      <c r="C134" s="39" t="s">
        <v>10</v>
      </c>
      <c r="D134" s="39">
        <v>7.9</v>
      </c>
      <c r="E134" s="39">
        <v>85</v>
      </c>
      <c r="F134" s="39" t="s">
        <v>42</v>
      </c>
      <c r="G134" s="39" t="s">
        <v>408</v>
      </c>
      <c r="H134" s="39" t="s">
        <v>29</v>
      </c>
      <c r="I134" s="39" t="s">
        <v>14</v>
      </c>
    </row>
    <row r="135" spans="1:9" x14ac:dyDescent="0.25">
      <c r="A135" s="40" t="s">
        <v>409</v>
      </c>
      <c r="B135" s="40">
        <v>2019</v>
      </c>
      <c r="C135" s="40" t="s">
        <v>10</v>
      </c>
      <c r="D135" s="40">
        <v>8.4</v>
      </c>
      <c r="E135" s="40">
        <v>85</v>
      </c>
      <c r="F135" s="40" t="s">
        <v>16</v>
      </c>
      <c r="G135" s="40" t="s">
        <v>410</v>
      </c>
      <c r="H135" s="40" t="s">
        <v>33</v>
      </c>
      <c r="I135" s="40" t="s">
        <v>14</v>
      </c>
    </row>
    <row r="136" spans="1:9" x14ac:dyDescent="0.25">
      <c r="A136" s="39" t="s">
        <v>411</v>
      </c>
      <c r="B136" s="39">
        <v>1959</v>
      </c>
      <c r="C136" s="39" t="s">
        <v>48</v>
      </c>
      <c r="D136" s="39">
        <v>9</v>
      </c>
      <c r="E136" s="39">
        <v>85</v>
      </c>
      <c r="F136" s="39" t="s">
        <v>412</v>
      </c>
      <c r="G136" s="39" t="s">
        <v>413</v>
      </c>
      <c r="H136" s="39" t="s">
        <v>97</v>
      </c>
      <c r="I136" s="39" t="s">
        <v>414</v>
      </c>
    </row>
    <row r="137" spans="1:9" x14ac:dyDescent="0.25">
      <c r="A137" s="40" t="s">
        <v>415</v>
      </c>
      <c r="B137" s="40">
        <v>2014</v>
      </c>
      <c r="C137" s="40" t="s">
        <v>26</v>
      </c>
      <c r="D137" s="40">
        <v>8.1</v>
      </c>
      <c r="E137" s="40">
        <v>85</v>
      </c>
      <c r="F137" s="40" t="s">
        <v>92</v>
      </c>
      <c r="G137" s="40" t="s">
        <v>416</v>
      </c>
      <c r="H137" s="40" t="s">
        <v>111</v>
      </c>
      <c r="I137" s="40" t="s">
        <v>74</v>
      </c>
    </row>
    <row r="138" spans="1:9" x14ac:dyDescent="0.25">
      <c r="A138" s="39" t="s">
        <v>417</v>
      </c>
      <c r="B138" s="39">
        <v>2015</v>
      </c>
      <c r="C138" s="39" t="s">
        <v>26</v>
      </c>
      <c r="D138" s="39">
        <v>8.4</v>
      </c>
      <c r="E138" s="39">
        <v>85</v>
      </c>
      <c r="F138" s="39" t="s">
        <v>418</v>
      </c>
      <c r="G138" s="39" t="s">
        <v>419</v>
      </c>
      <c r="H138" s="39" t="s">
        <v>123</v>
      </c>
      <c r="I138" s="39" t="s">
        <v>150</v>
      </c>
    </row>
    <row r="139" spans="1:9" x14ac:dyDescent="0.25">
      <c r="A139" s="40" t="s">
        <v>420</v>
      </c>
      <c r="B139" s="40">
        <v>2011</v>
      </c>
      <c r="C139" s="40" t="s">
        <v>26</v>
      </c>
      <c r="D139" s="40">
        <v>7.7</v>
      </c>
      <c r="E139" s="40">
        <v>85</v>
      </c>
      <c r="F139" s="40" t="s">
        <v>421</v>
      </c>
      <c r="G139" s="40" t="s">
        <v>422</v>
      </c>
      <c r="H139" s="40" t="s">
        <v>127</v>
      </c>
      <c r="I139" s="40" t="s">
        <v>423</v>
      </c>
    </row>
    <row r="140" spans="1:9" x14ac:dyDescent="0.25">
      <c r="A140" s="39" t="s">
        <v>424</v>
      </c>
      <c r="B140" s="39">
        <v>2002</v>
      </c>
      <c r="C140" s="39" t="s">
        <v>10</v>
      </c>
      <c r="D140" s="39">
        <v>8.6999999999999993</v>
      </c>
      <c r="E140" s="39">
        <v>85</v>
      </c>
      <c r="F140" s="39" t="s">
        <v>11</v>
      </c>
      <c r="G140" s="39" t="s">
        <v>425</v>
      </c>
      <c r="H140" s="39" t="s">
        <v>149</v>
      </c>
      <c r="I140" s="39" t="s">
        <v>46</v>
      </c>
    </row>
    <row r="141" spans="1:9" x14ac:dyDescent="0.25">
      <c r="A141" s="40" t="s">
        <v>426</v>
      </c>
      <c r="B141" s="40">
        <v>2012</v>
      </c>
      <c r="C141" s="40" t="s">
        <v>10</v>
      </c>
      <c r="D141" s="40">
        <v>8.6999999999999993</v>
      </c>
      <c r="E141" s="40">
        <v>85</v>
      </c>
      <c r="F141" s="40" t="s">
        <v>11</v>
      </c>
      <c r="G141" s="40" t="s">
        <v>427</v>
      </c>
      <c r="H141" s="40" t="s">
        <v>13</v>
      </c>
      <c r="I141" s="40" t="s">
        <v>428</v>
      </c>
    </row>
    <row r="142" spans="1:9" x14ac:dyDescent="0.25">
      <c r="A142" s="39" t="s">
        <v>429</v>
      </c>
      <c r="B142" s="39">
        <v>2018</v>
      </c>
      <c r="C142" s="39" t="s">
        <v>10</v>
      </c>
      <c r="D142" s="39">
        <v>8.1</v>
      </c>
      <c r="E142" s="39">
        <v>85</v>
      </c>
      <c r="F142" s="39" t="s">
        <v>430</v>
      </c>
      <c r="G142" s="39" t="s">
        <v>431</v>
      </c>
      <c r="H142" s="39" t="s">
        <v>40</v>
      </c>
      <c r="I142" s="39" t="s">
        <v>14</v>
      </c>
    </row>
    <row r="143" spans="1:9" x14ac:dyDescent="0.25">
      <c r="A143" s="40" t="s">
        <v>432</v>
      </c>
      <c r="B143" s="40">
        <v>2018</v>
      </c>
      <c r="C143" s="40" t="s">
        <v>10</v>
      </c>
      <c r="D143" s="40">
        <v>7.8</v>
      </c>
      <c r="E143" s="40">
        <v>85</v>
      </c>
      <c r="F143" s="40" t="s">
        <v>11</v>
      </c>
      <c r="G143" s="40" t="s">
        <v>433</v>
      </c>
      <c r="H143" s="40" t="s">
        <v>33</v>
      </c>
      <c r="I143" s="40" t="s">
        <v>14</v>
      </c>
    </row>
    <row r="144" spans="1:9" x14ac:dyDescent="0.25">
      <c r="A144" s="39" t="s">
        <v>434</v>
      </c>
      <c r="B144" s="39">
        <v>2006</v>
      </c>
      <c r="C144" s="39" t="s">
        <v>26</v>
      </c>
      <c r="D144" s="39">
        <v>8.6</v>
      </c>
      <c r="E144" s="39">
        <v>85</v>
      </c>
      <c r="F144" s="39" t="s">
        <v>232</v>
      </c>
      <c r="G144" s="39" t="s">
        <v>435</v>
      </c>
      <c r="H144" s="39" t="s">
        <v>13</v>
      </c>
      <c r="I144" s="39" t="s">
        <v>436</v>
      </c>
    </row>
    <row r="145" spans="1:9" x14ac:dyDescent="0.25">
      <c r="A145" s="40" t="s">
        <v>437</v>
      </c>
      <c r="B145" s="40">
        <v>2018</v>
      </c>
      <c r="C145" s="40" t="s">
        <v>10</v>
      </c>
      <c r="D145" s="40">
        <v>8.6</v>
      </c>
      <c r="E145" s="40">
        <v>85</v>
      </c>
      <c r="F145" s="40" t="s">
        <v>288</v>
      </c>
      <c r="G145" s="40" t="s">
        <v>438</v>
      </c>
      <c r="H145" s="40" t="s">
        <v>284</v>
      </c>
      <c r="I145" s="40" t="s">
        <v>19</v>
      </c>
    </row>
    <row r="146" spans="1:9" x14ac:dyDescent="0.25">
      <c r="A146" s="39" t="s">
        <v>439</v>
      </c>
      <c r="B146" s="39">
        <v>2014</v>
      </c>
      <c r="C146" s="39" t="s">
        <v>10</v>
      </c>
      <c r="D146" s="39">
        <v>8.4</v>
      </c>
      <c r="E146" s="39">
        <v>85</v>
      </c>
      <c r="F146" s="39" t="s">
        <v>11</v>
      </c>
      <c r="G146" s="39" t="s">
        <v>440</v>
      </c>
      <c r="H146" s="39" t="s">
        <v>123</v>
      </c>
      <c r="I146" s="39" t="s">
        <v>34</v>
      </c>
    </row>
    <row r="147" spans="1:9" x14ac:dyDescent="0.25">
      <c r="A147" s="40" t="s">
        <v>441</v>
      </c>
      <c r="B147" s="40">
        <v>2004</v>
      </c>
      <c r="C147" s="40" t="s">
        <v>10</v>
      </c>
      <c r="D147" s="40">
        <v>8.6</v>
      </c>
      <c r="E147" s="40">
        <v>85</v>
      </c>
      <c r="F147" s="40" t="s">
        <v>304</v>
      </c>
      <c r="G147" s="40" t="s">
        <v>442</v>
      </c>
      <c r="H147" s="40" t="s">
        <v>29</v>
      </c>
      <c r="I147" s="40" t="s">
        <v>19</v>
      </c>
    </row>
    <row r="148" spans="1:9" x14ac:dyDescent="0.25">
      <c r="A148" s="39" t="s">
        <v>443</v>
      </c>
      <c r="B148" s="39">
        <v>2010</v>
      </c>
      <c r="C148" s="39" t="s">
        <v>26</v>
      </c>
      <c r="D148" s="39">
        <v>7.4</v>
      </c>
      <c r="E148" s="39">
        <v>84</v>
      </c>
      <c r="F148" s="39" t="s">
        <v>82</v>
      </c>
      <c r="G148" s="39" t="s">
        <v>444</v>
      </c>
      <c r="H148" s="39" t="s">
        <v>149</v>
      </c>
      <c r="I148" s="39" t="s">
        <v>24</v>
      </c>
    </row>
    <row r="149" spans="1:9" x14ac:dyDescent="0.25">
      <c r="A149" s="40" t="s">
        <v>445</v>
      </c>
      <c r="B149" s="40">
        <v>2020</v>
      </c>
      <c r="C149" s="40" t="s">
        <v>10</v>
      </c>
      <c r="D149" s="40">
        <v>8.6</v>
      </c>
      <c r="E149" s="40">
        <v>84</v>
      </c>
      <c r="F149" s="40" t="s">
        <v>27</v>
      </c>
      <c r="G149" s="40" t="s">
        <v>446</v>
      </c>
      <c r="H149" s="40" t="s">
        <v>40</v>
      </c>
      <c r="I149" s="40" t="s">
        <v>447</v>
      </c>
    </row>
    <row r="150" spans="1:9" x14ac:dyDescent="0.25">
      <c r="A150" s="39" t="s">
        <v>448</v>
      </c>
      <c r="B150" s="39">
        <v>2019</v>
      </c>
      <c r="C150" s="39" t="s">
        <v>10</v>
      </c>
      <c r="D150" s="39">
        <v>8.1</v>
      </c>
      <c r="E150" s="39">
        <v>84</v>
      </c>
      <c r="F150" s="39" t="s">
        <v>11</v>
      </c>
      <c r="G150" s="39" t="s">
        <v>449</v>
      </c>
      <c r="H150" s="39" t="s">
        <v>40</v>
      </c>
      <c r="I150" s="39" t="s">
        <v>19</v>
      </c>
    </row>
    <row r="151" spans="1:9" x14ac:dyDescent="0.25">
      <c r="A151" s="40" t="s">
        <v>450</v>
      </c>
      <c r="B151" s="40">
        <v>2006</v>
      </c>
      <c r="C151" s="40" t="s">
        <v>26</v>
      </c>
      <c r="D151" s="40">
        <v>9</v>
      </c>
      <c r="E151" s="40">
        <v>84</v>
      </c>
      <c r="F151" s="40" t="s">
        <v>451</v>
      </c>
      <c r="G151" s="40" t="s">
        <v>452</v>
      </c>
      <c r="H151" s="40" t="s">
        <v>40</v>
      </c>
      <c r="I151" s="40" t="s">
        <v>204</v>
      </c>
    </row>
    <row r="152" spans="1:9" x14ac:dyDescent="0.25">
      <c r="A152" s="39" t="s">
        <v>453</v>
      </c>
      <c r="B152" s="39">
        <v>2016</v>
      </c>
      <c r="C152" s="39" t="s">
        <v>10</v>
      </c>
      <c r="D152" s="39">
        <v>8.6</v>
      </c>
      <c r="E152" s="39">
        <v>84</v>
      </c>
      <c r="F152" s="39" t="s">
        <v>163</v>
      </c>
      <c r="G152" s="39" t="s">
        <v>454</v>
      </c>
      <c r="H152" s="39" t="s">
        <v>33</v>
      </c>
      <c r="I152" s="39" t="s">
        <v>455</v>
      </c>
    </row>
    <row r="153" spans="1:9" x14ac:dyDescent="0.25">
      <c r="A153" s="40" t="s">
        <v>456</v>
      </c>
      <c r="B153" s="40">
        <v>2013</v>
      </c>
      <c r="C153" s="40" t="s">
        <v>26</v>
      </c>
      <c r="D153" s="40">
        <v>8.1999999999999993</v>
      </c>
      <c r="E153" s="40">
        <v>84</v>
      </c>
      <c r="F153" s="40" t="s">
        <v>11</v>
      </c>
      <c r="G153" s="40" t="s">
        <v>457</v>
      </c>
      <c r="H153" s="40" t="s">
        <v>97</v>
      </c>
      <c r="I153" s="40" t="s">
        <v>14</v>
      </c>
    </row>
    <row r="154" spans="1:9" x14ac:dyDescent="0.25">
      <c r="A154" s="39" t="s">
        <v>458</v>
      </c>
      <c r="B154" s="39">
        <v>2017</v>
      </c>
      <c r="C154" s="39" t="s">
        <v>10</v>
      </c>
      <c r="D154" s="39">
        <v>8.5</v>
      </c>
      <c r="E154" s="39">
        <v>84</v>
      </c>
      <c r="F154" s="39" t="s">
        <v>42</v>
      </c>
      <c r="G154" s="39" t="s">
        <v>459</v>
      </c>
      <c r="H154" s="39" t="s">
        <v>33</v>
      </c>
      <c r="I154" s="39" t="s">
        <v>14</v>
      </c>
    </row>
    <row r="155" spans="1:9" x14ac:dyDescent="0.25">
      <c r="A155" s="40" t="s">
        <v>460</v>
      </c>
      <c r="B155" s="40">
        <v>2014</v>
      </c>
      <c r="C155" s="40" t="s">
        <v>10</v>
      </c>
      <c r="D155" s="40">
        <v>8.3000000000000007</v>
      </c>
      <c r="E155" s="40">
        <v>84</v>
      </c>
      <c r="F155" s="40" t="s">
        <v>27</v>
      </c>
      <c r="G155" s="40" t="s">
        <v>461</v>
      </c>
      <c r="H155" s="40" t="s">
        <v>29</v>
      </c>
      <c r="I155" s="40" t="s">
        <v>19</v>
      </c>
    </row>
    <row r="156" spans="1:9" x14ac:dyDescent="0.25">
      <c r="A156" s="39" t="s">
        <v>462</v>
      </c>
      <c r="B156" s="39">
        <v>2019</v>
      </c>
      <c r="C156" s="39" t="s">
        <v>10</v>
      </c>
      <c r="D156" s="39">
        <v>8</v>
      </c>
      <c r="E156" s="39">
        <v>84</v>
      </c>
      <c r="F156" s="39" t="s">
        <v>31</v>
      </c>
      <c r="G156" s="39" t="s">
        <v>463</v>
      </c>
      <c r="H156" s="39" t="s">
        <v>33</v>
      </c>
      <c r="I156" s="39" t="s">
        <v>464</v>
      </c>
    </row>
    <row r="157" spans="1:9" x14ac:dyDescent="0.25">
      <c r="A157" s="40" t="s">
        <v>465</v>
      </c>
      <c r="B157" s="40">
        <v>1990</v>
      </c>
      <c r="C157" s="40" t="s">
        <v>48</v>
      </c>
      <c r="D157" s="40">
        <v>8.5</v>
      </c>
      <c r="E157" s="40">
        <v>84</v>
      </c>
      <c r="F157" s="40" t="s">
        <v>466</v>
      </c>
      <c r="G157" s="40" t="s">
        <v>467</v>
      </c>
      <c r="H157" s="40" t="s">
        <v>40</v>
      </c>
      <c r="I157" s="40" t="s">
        <v>468</v>
      </c>
    </row>
    <row r="158" spans="1:9" x14ac:dyDescent="0.25">
      <c r="A158" s="39" t="s">
        <v>469</v>
      </c>
      <c r="B158" s="39">
        <v>2017</v>
      </c>
      <c r="C158" s="39" t="s">
        <v>26</v>
      </c>
      <c r="D158" s="39">
        <v>7.9</v>
      </c>
      <c r="E158" s="39">
        <v>84</v>
      </c>
      <c r="F158" s="39" t="s">
        <v>304</v>
      </c>
      <c r="G158" s="39" t="s">
        <v>470</v>
      </c>
      <c r="H158" s="39" t="s">
        <v>29</v>
      </c>
      <c r="I158" s="39" t="s">
        <v>471</v>
      </c>
    </row>
    <row r="159" spans="1:9" x14ac:dyDescent="0.25">
      <c r="A159" s="40" t="s">
        <v>472</v>
      </c>
      <c r="B159" s="40">
        <v>2006</v>
      </c>
      <c r="C159" s="40" t="s">
        <v>26</v>
      </c>
      <c r="D159" s="40">
        <v>8.1999999999999993</v>
      </c>
      <c r="E159" s="40">
        <v>84</v>
      </c>
      <c r="F159" s="40" t="s">
        <v>358</v>
      </c>
      <c r="G159" s="40" t="s">
        <v>473</v>
      </c>
      <c r="H159" s="40" t="s">
        <v>149</v>
      </c>
      <c r="I159" s="40" t="s">
        <v>468</v>
      </c>
    </row>
    <row r="160" spans="1:9" x14ac:dyDescent="0.25">
      <c r="A160" s="39" t="s">
        <v>474</v>
      </c>
      <c r="B160" s="39">
        <v>2015</v>
      </c>
      <c r="C160" s="39" t="s">
        <v>48</v>
      </c>
      <c r="D160" s="39">
        <v>8</v>
      </c>
      <c r="E160" s="39">
        <v>84</v>
      </c>
      <c r="F160" s="39" t="s">
        <v>76</v>
      </c>
      <c r="G160" s="39" t="s">
        <v>475</v>
      </c>
      <c r="H160" s="39" t="s">
        <v>23</v>
      </c>
      <c r="I160" s="39" t="s">
        <v>34</v>
      </c>
    </row>
    <row r="161" spans="1:9" x14ac:dyDescent="0.25">
      <c r="A161" s="40" t="s">
        <v>476</v>
      </c>
      <c r="B161" s="40">
        <v>2003</v>
      </c>
      <c r="C161" s="40" t="s">
        <v>10</v>
      </c>
      <c r="D161" s="40">
        <v>8.8000000000000007</v>
      </c>
      <c r="E161" s="40">
        <v>84</v>
      </c>
      <c r="F161" s="40" t="s">
        <v>477</v>
      </c>
      <c r="G161" s="40" t="s">
        <v>478</v>
      </c>
      <c r="H161" s="40" t="s">
        <v>29</v>
      </c>
      <c r="I161" s="40" t="s">
        <v>479</v>
      </c>
    </row>
    <row r="162" spans="1:9" x14ac:dyDescent="0.25">
      <c r="A162" s="39" t="s">
        <v>480</v>
      </c>
      <c r="B162" s="39">
        <v>2012</v>
      </c>
      <c r="C162" s="39" t="s">
        <v>26</v>
      </c>
      <c r="D162" s="39">
        <v>7.9</v>
      </c>
      <c r="E162" s="39">
        <v>84</v>
      </c>
      <c r="F162" s="39" t="s">
        <v>11</v>
      </c>
      <c r="G162" s="39" t="s">
        <v>481</v>
      </c>
      <c r="H162" s="39" t="s">
        <v>149</v>
      </c>
      <c r="I162" s="39" t="s">
        <v>46</v>
      </c>
    </row>
    <row r="163" spans="1:9" x14ac:dyDescent="0.25">
      <c r="A163" s="40" t="s">
        <v>482</v>
      </c>
      <c r="B163" s="40">
        <v>2011</v>
      </c>
      <c r="C163" s="40" t="s">
        <v>26</v>
      </c>
      <c r="D163" s="40">
        <v>8.1</v>
      </c>
      <c r="E163" s="40">
        <v>84</v>
      </c>
      <c r="F163" s="40" t="s">
        <v>21</v>
      </c>
      <c r="G163" s="40" t="s">
        <v>483</v>
      </c>
      <c r="H163" s="40" t="s">
        <v>55</v>
      </c>
      <c r="I163" s="40" t="s">
        <v>104</v>
      </c>
    </row>
    <row r="164" spans="1:9" x14ac:dyDescent="0.25">
      <c r="A164" s="39" t="s">
        <v>484</v>
      </c>
      <c r="B164" s="39">
        <v>2007</v>
      </c>
      <c r="C164" s="39" t="s">
        <v>48</v>
      </c>
      <c r="D164" s="39">
        <v>8.6</v>
      </c>
      <c r="E164" s="39">
        <v>84</v>
      </c>
      <c r="F164" s="39" t="s">
        <v>72</v>
      </c>
      <c r="G164" s="39" t="s">
        <v>485</v>
      </c>
      <c r="H164" s="39" t="s">
        <v>486</v>
      </c>
      <c r="I164" s="39" t="s">
        <v>487</v>
      </c>
    </row>
    <row r="165" spans="1:9" x14ac:dyDescent="0.25">
      <c r="A165" s="40" t="s">
        <v>488</v>
      </c>
      <c r="B165" s="40">
        <v>2019</v>
      </c>
      <c r="C165" s="40" t="s">
        <v>10</v>
      </c>
      <c r="D165" s="40">
        <v>8</v>
      </c>
      <c r="E165" s="40">
        <v>84</v>
      </c>
      <c r="F165" s="40" t="s">
        <v>163</v>
      </c>
      <c r="G165" s="40" t="s">
        <v>489</v>
      </c>
      <c r="H165" s="40" t="s">
        <v>33</v>
      </c>
      <c r="I165" s="40" t="s">
        <v>14</v>
      </c>
    </row>
    <row r="166" spans="1:9" x14ac:dyDescent="0.25">
      <c r="A166" s="39" t="s">
        <v>490</v>
      </c>
      <c r="B166" s="39">
        <v>2009</v>
      </c>
      <c r="C166" s="39" t="s">
        <v>10</v>
      </c>
      <c r="D166" s="39">
        <v>8.1999999999999993</v>
      </c>
      <c r="E166" s="39">
        <v>84</v>
      </c>
      <c r="F166" s="39" t="s">
        <v>163</v>
      </c>
      <c r="G166" s="39" t="s">
        <v>491</v>
      </c>
      <c r="H166" s="39" t="s">
        <v>97</v>
      </c>
      <c r="I166" s="39" t="s">
        <v>46</v>
      </c>
    </row>
    <row r="167" spans="1:9" x14ac:dyDescent="0.25">
      <c r="A167" s="40" t="s">
        <v>492</v>
      </c>
      <c r="B167" s="40">
        <v>2018</v>
      </c>
      <c r="C167" s="40" t="s">
        <v>10</v>
      </c>
      <c r="D167" s="40">
        <v>8</v>
      </c>
      <c r="E167" s="40">
        <v>84</v>
      </c>
      <c r="F167" s="40" t="s">
        <v>493</v>
      </c>
      <c r="G167" s="40" t="s">
        <v>494</v>
      </c>
      <c r="H167" s="40" t="s">
        <v>33</v>
      </c>
      <c r="I167" s="40" t="s">
        <v>14</v>
      </c>
    </row>
    <row r="168" spans="1:9" x14ac:dyDescent="0.25">
      <c r="A168" s="39" t="s">
        <v>495</v>
      </c>
      <c r="B168" s="39">
        <v>2018</v>
      </c>
      <c r="C168" s="39" t="s">
        <v>26</v>
      </c>
      <c r="D168" s="39">
        <v>7.9</v>
      </c>
      <c r="E168" s="39">
        <v>84</v>
      </c>
      <c r="F168" s="39" t="s">
        <v>175</v>
      </c>
      <c r="G168" s="39" t="s">
        <v>496</v>
      </c>
      <c r="H168" s="39" t="s">
        <v>189</v>
      </c>
      <c r="I168" s="39" t="s">
        <v>74</v>
      </c>
    </row>
    <row r="169" spans="1:9" x14ac:dyDescent="0.25">
      <c r="A169" s="40" t="s">
        <v>497</v>
      </c>
      <c r="B169" s="40">
        <v>2011</v>
      </c>
      <c r="C169" s="40" t="s">
        <v>26</v>
      </c>
      <c r="D169" s="40">
        <v>7.6</v>
      </c>
      <c r="E169" s="40">
        <v>84</v>
      </c>
      <c r="F169" s="40" t="s">
        <v>498</v>
      </c>
      <c r="G169" s="40" t="s">
        <v>499</v>
      </c>
      <c r="H169" s="40" t="s">
        <v>111</v>
      </c>
      <c r="I169" s="40" t="s">
        <v>34</v>
      </c>
    </row>
    <row r="170" spans="1:9" x14ac:dyDescent="0.25">
      <c r="A170" s="39" t="s">
        <v>500</v>
      </c>
      <c r="B170" s="39">
        <v>2019</v>
      </c>
      <c r="C170" s="39" t="s">
        <v>10</v>
      </c>
      <c r="D170" s="39">
        <v>8.1</v>
      </c>
      <c r="E170" s="39">
        <v>84</v>
      </c>
      <c r="F170" s="39" t="s">
        <v>163</v>
      </c>
      <c r="G170" s="39" t="s">
        <v>501</v>
      </c>
      <c r="H170" s="39" t="s">
        <v>40</v>
      </c>
      <c r="I170" s="39" t="s">
        <v>34</v>
      </c>
    </row>
    <row r="171" spans="1:9" x14ac:dyDescent="0.25">
      <c r="A171" s="40" t="s">
        <v>502</v>
      </c>
      <c r="B171" s="40">
        <v>2015</v>
      </c>
      <c r="C171" s="40" t="s">
        <v>10</v>
      </c>
      <c r="D171" s="40">
        <v>8.3000000000000007</v>
      </c>
      <c r="E171" s="40">
        <v>84</v>
      </c>
      <c r="F171" s="40" t="s">
        <v>163</v>
      </c>
      <c r="G171" s="40" t="s">
        <v>503</v>
      </c>
      <c r="H171" s="40" t="s">
        <v>33</v>
      </c>
      <c r="I171" s="40" t="s">
        <v>14</v>
      </c>
    </row>
    <row r="172" spans="1:9" x14ac:dyDescent="0.25">
      <c r="A172" s="39" t="s">
        <v>504</v>
      </c>
      <c r="B172" s="39">
        <v>2018</v>
      </c>
      <c r="C172" s="39" t="s">
        <v>10</v>
      </c>
      <c r="D172" s="39">
        <v>8.3000000000000007</v>
      </c>
      <c r="E172" s="39">
        <v>84</v>
      </c>
      <c r="F172" s="39" t="s">
        <v>505</v>
      </c>
      <c r="G172" s="39" t="s">
        <v>506</v>
      </c>
      <c r="H172" s="39" t="s">
        <v>33</v>
      </c>
      <c r="I172" s="39" t="s">
        <v>19</v>
      </c>
    </row>
    <row r="173" spans="1:9" x14ac:dyDescent="0.25">
      <c r="A173" s="40" t="s">
        <v>507</v>
      </c>
      <c r="B173" s="40">
        <v>2018</v>
      </c>
      <c r="C173" s="40" t="s">
        <v>10</v>
      </c>
      <c r="D173" s="40">
        <v>8.1</v>
      </c>
      <c r="E173" s="40">
        <v>84</v>
      </c>
      <c r="F173" s="40" t="s">
        <v>16</v>
      </c>
      <c r="G173" s="40" t="s">
        <v>508</v>
      </c>
      <c r="H173" s="40" t="s">
        <v>33</v>
      </c>
      <c r="I173" s="40" t="s">
        <v>34</v>
      </c>
    </row>
    <row r="174" spans="1:9" x14ac:dyDescent="0.25">
      <c r="A174" s="39" t="s">
        <v>509</v>
      </c>
      <c r="B174" s="39">
        <v>2010</v>
      </c>
      <c r="C174" s="39" t="s">
        <v>10</v>
      </c>
      <c r="D174" s="39">
        <v>8.3000000000000007</v>
      </c>
      <c r="E174" s="39">
        <v>84</v>
      </c>
      <c r="F174" s="39" t="s">
        <v>38</v>
      </c>
      <c r="G174" s="39" t="s">
        <v>510</v>
      </c>
      <c r="H174" s="39" t="s">
        <v>40</v>
      </c>
      <c r="I174" s="39" t="s">
        <v>348</v>
      </c>
    </row>
    <row r="175" spans="1:9" x14ac:dyDescent="0.25">
      <c r="A175" s="40" t="s">
        <v>511</v>
      </c>
      <c r="B175" s="40">
        <v>2015</v>
      </c>
      <c r="C175" s="40" t="s">
        <v>26</v>
      </c>
      <c r="D175" s="40">
        <v>8.6</v>
      </c>
      <c r="E175" s="40">
        <v>84</v>
      </c>
      <c r="F175" s="40" t="s">
        <v>512</v>
      </c>
      <c r="G175" s="40" t="s">
        <v>513</v>
      </c>
      <c r="H175" s="40" t="s">
        <v>284</v>
      </c>
      <c r="I175" s="40" t="s">
        <v>14</v>
      </c>
    </row>
    <row r="176" spans="1:9" x14ac:dyDescent="0.25">
      <c r="A176" s="39" t="s">
        <v>514</v>
      </c>
      <c r="B176" s="39">
        <v>2020</v>
      </c>
      <c r="C176" s="39" t="s">
        <v>10</v>
      </c>
      <c r="D176" s="39">
        <v>8</v>
      </c>
      <c r="E176" s="39">
        <v>84</v>
      </c>
      <c r="F176" s="39" t="s">
        <v>515</v>
      </c>
      <c r="G176" s="39" t="s">
        <v>516</v>
      </c>
      <c r="H176" s="39" t="s">
        <v>80</v>
      </c>
      <c r="I176" s="39" t="s">
        <v>14</v>
      </c>
    </row>
    <row r="177" spans="1:9" x14ac:dyDescent="0.25">
      <c r="A177" s="40" t="s">
        <v>57</v>
      </c>
      <c r="B177" s="40">
        <v>2001</v>
      </c>
      <c r="C177" s="40" t="s">
        <v>26</v>
      </c>
      <c r="D177" s="40">
        <v>8.5</v>
      </c>
      <c r="E177" s="40">
        <v>84</v>
      </c>
      <c r="F177" s="40" t="s">
        <v>163</v>
      </c>
      <c r="G177" s="40" t="s">
        <v>517</v>
      </c>
      <c r="H177" s="40" t="s">
        <v>29</v>
      </c>
      <c r="I177" s="40" t="s">
        <v>370</v>
      </c>
    </row>
    <row r="178" spans="1:9" x14ac:dyDescent="0.25">
      <c r="A178" s="39" t="s">
        <v>518</v>
      </c>
      <c r="B178" s="39">
        <v>2009</v>
      </c>
      <c r="C178" s="39" t="s">
        <v>26</v>
      </c>
      <c r="D178" s="39">
        <v>8.3000000000000007</v>
      </c>
      <c r="E178" s="39">
        <v>84</v>
      </c>
      <c r="F178" s="39" t="s">
        <v>11</v>
      </c>
      <c r="G178" s="39" t="s">
        <v>519</v>
      </c>
      <c r="H178" s="39" t="s">
        <v>149</v>
      </c>
      <c r="I178" s="39" t="s">
        <v>520</v>
      </c>
    </row>
    <row r="179" spans="1:9" x14ac:dyDescent="0.25">
      <c r="A179" s="40" t="s">
        <v>521</v>
      </c>
      <c r="B179" s="40">
        <v>2017</v>
      </c>
      <c r="C179" s="40" t="s">
        <v>26</v>
      </c>
      <c r="D179" s="40">
        <v>8.4</v>
      </c>
      <c r="E179" s="40">
        <v>84</v>
      </c>
      <c r="F179" s="40" t="s">
        <v>82</v>
      </c>
      <c r="G179" s="40" t="s">
        <v>522</v>
      </c>
      <c r="H179" s="40" t="s">
        <v>80</v>
      </c>
      <c r="I179" s="40" t="s">
        <v>46</v>
      </c>
    </row>
    <row r="180" spans="1:9" x14ac:dyDescent="0.25">
      <c r="A180" s="39" t="s">
        <v>523</v>
      </c>
      <c r="B180" s="39">
        <v>2020</v>
      </c>
      <c r="C180" s="39" t="s">
        <v>10</v>
      </c>
      <c r="D180" s="39">
        <v>7.3</v>
      </c>
      <c r="E180" s="39">
        <v>84</v>
      </c>
      <c r="F180" s="39" t="s">
        <v>27</v>
      </c>
      <c r="G180" s="39" t="s">
        <v>524</v>
      </c>
      <c r="H180" s="39" t="s">
        <v>40</v>
      </c>
      <c r="I180" s="39" t="s">
        <v>19</v>
      </c>
    </row>
    <row r="181" spans="1:9" x14ac:dyDescent="0.25">
      <c r="A181" s="40" t="s">
        <v>525</v>
      </c>
      <c r="B181" s="40">
        <v>2020</v>
      </c>
      <c r="C181" s="40" t="s">
        <v>10</v>
      </c>
      <c r="D181" s="40">
        <v>8</v>
      </c>
      <c r="E181" s="40">
        <v>84</v>
      </c>
      <c r="F181" s="40" t="s">
        <v>526</v>
      </c>
      <c r="G181" s="40" t="s">
        <v>527</v>
      </c>
      <c r="H181" s="40" t="s">
        <v>80</v>
      </c>
      <c r="I181" s="40" t="s">
        <v>34</v>
      </c>
    </row>
    <row r="182" spans="1:9" x14ac:dyDescent="0.25">
      <c r="A182" s="39" t="s">
        <v>528</v>
      </c>
      <c r="B182" s="39">
        <v>2018</v>
      </c>
      <c r="C182" s="39" t="s">
        <v>10</v>
      </c>
      <c r="D182" s="39">
        <v>7.6</v>
      </c>
      <c r="E182" s="39">
        <v>84</v>
      </c>
      <c r="F182" s="39" t="s">
        <v>11</v>
      </c>
      <c r="G182" s="39" t="s">
        <v>529</v>
      </c>
      <c r="H182" s="39" t="s">
        <v>29</v>
      </c>
      <c r="I182" s="39" t="s">
        <v>14</v>
      </c>
    </row>
    <row r="183" spans="1:9" x14ac:dyDescent="0.25">
      <c r="A183" s="40" t="s">
        <v>530</v>
      </c>
      <c r="B183" s="40">
        <v>2005</v>
      </c>
      <c r="C183" s="40" t="s">
        <v>48</v>
      </c>
      <c r="D183" s="40">
        <v>8.6</v>
      </c>
      <c r="E183" s="40">
        <v>84</v>
      </c>
      <c r="F183" s="40" t="s">
        <v>16</v>
      </c>
      <c r="G183" s="40" t="s">
        <v>531</v>
      </c>
      <c r="H183" s="40" t="s">
        <v>169</v>
      </c>
      <c r="I183" s="40" t="s">
        <v>532</v>
      </c>
    </row>
    <row r="184" spans="1:9" x14ac:dyDescent="0.25">
      <c r="A184" s="39" t="s">
        <v>533</v>
      </c>
      <c r="B184" s="39">
        <v>2019</v>
      </c>
      <c r="C184" s="39" t="s">
        <v>48</v>
      </c>
      <c r="D184" s="39">
        <v>9.3000000000000007</v>
      </c>
      <c r="E184" s="39">
        <v>84</v>
      </c>
      <c r="F184" s="39" t="s">
        <v>534</v>
      </c>
      <c r="G184" s="39" t="s">
        <v>535</v>
      </c>
      <c r="H184" s="39" t="s">
        <v>40</v>
      </c>
      <c r="I184" s="39" t="s">
        <v>14</v>
      </c>
    </row>
    <row r="185" spans="1:9" x14ac:dyDescent="0.25">
      <c r="A185" s="40" t="s">
        <v>536</v>
      </c>
      <c r="B185" s="40">
        <v>2008</v>
      </c>
      <c r="C185" s="40" t="s">
        <v>48</v>
      </c>
      <c r="D185" s="40">
        <v>8.1999999999999993</v>
      </c>
      <c r="E185" s="40">
        <v>83</v>
      </c>
      <c r="F185" s="40" t="s">
        <v>537</v>
      </c>
      <c r="G185" s="40" t="s">
        <v>538</v>
      </c>
      <c r="H185" s="40" t="s">
        <v>127</v>
      </c>
      <c r="I185" s="40" t="s">
        <v>108</v>
      </c>
    </row>
    <row r="186" spans="1:9" x14ac:dyDescent="0.25">
      <c r="A186" s="39" t="s">
        <v>539</v>
      </c>
      <c r="B186" s="39">
        <v>2011</v>
      </c>
      <c r="C186" s="39" t="s">
        <v>10</v>
      </c>
      <c r="D186" s="39">
        <v>8</v>
      </c>
      <c r="E186" s="39">
        <v>83</v>
      </c>
      <c r="F186" s="39" t="s">
        <v>118</v>
      </c>
      <c r="G186" s="39" t="s">
        <v>540</v>
      </c>
      <c r="H186" s="39" t="s">
        <v>380</v>
      </c>
      <c r="I186" s="39" t="s">
        <v>364</v>
      </c>
    </row>
    <row r="187" spans="1:9" x14ac:dyDescent="0.25">
      <c r="A187" s="40" t="s">
        <v>541</v>
      </c>
      <c r="B187" s="40">
        <v>1999</v>
      </c>
      <c r="C187" s="40" t="s">
        <v>48</v>
      </c>
      <c r="D187" s="40">
        <v>8.6999999999999993</v>
      </c>
      <c r="E187" s="40">
        <v>83</v>
      </c>
      <c r="F187" s="40" t="s">
        <v>72</v>
      </c>
      <c r="G187" s="40" t="s">
        <v>542</v>
      </c>
      <c r="H187" s="40" t="s">
        <v>543</v>
      </c>
      <c r="I187" s="40" t="s">
        <v>74</v>
      </c>
    </row>
    <row r="188" spans="1:9" x14ac:dyDescent="0.25">
      <c r="A188" s="39" t="s">
        <v>544</v>
      </c>
      <c r="B188" s="39">
        <v>2009</v>
      </c>
      <c r="C188" s="39" t="s">
        <v>26</v>
      </c>
      <c r="D188" s="39">
        <v>8.1</v>
      </c>
      <c r="E188" s="39">
        <v>83</v>
      </c>
      <c r="F188" s="39" t="s">
        <v>69</v>
      </c>
      <c r="G188" s="39" t="s">
        <v>545</v>
      </c>
      <c r="H188" s="39" t="s">
        <v>18</v>
      </c>
      <c r="I188" s="39" t="s">
        <v>14</v>
      </c>
    </row>
    <row r="189" spans="1:9" x14ac:dyDescent="0.25">
      <c r="A189" s="40" t="s">
        <v>546</v>
      </c>
      <c r="B189" s="40">
        <v>2016</v>
      </c>
      <c r="C189" s="40" t="s">
        <v>10</v>
      </c>
      <c r="D189" s="40">
        <v>8.1999999999999993</v>
      </c>
      <c r="E189" s="40">
        <v>83</v>
      </c>
      <c r="F189" s="40" t="s">
        <v>493</v>
      </c>
      <c r="G189" s="40" t="s">
        <v>547</v>
      </c>
      <c r="H189" s="40" t="s">
        <v>80</v>
      </c>
      <c r="I189" s="40" t="s">
        <v>46</v>
      </c>
    </row>
    <row r="190" spans="1:9" x14ac:dyDescent="0.25">
      <c r="A190" s="39" t="s">
        <v>409</v>
      </c>
      <c r="B190" s="39">
        <v>2014</v>
      </c>
      <c r="C190" s="39" t="s">
        <v>10</v>
      </c>
      <c r="D190" s="39">
        <v>8.5</v>
      </c>
      <c r="E190" s="39">
        <v>83</v>
      </c>
      <c r="F190" s="39" t="s">
        <v>232</v>
      </c>
      <c r="G190" s="39" t="s">
        <v>548</v>
      </c>
      <c r="H190" s="39" t="s">
        <v>29</v>
      </c>
      <c r="I190" s="39" t="s">
        <v>14</v>
      </c>
    </row>
    <row r="191" spans="1:9" x14ac:dyDescent="0.25">
      <c r="A191" s="40" t="s">
        <v>549</v>
      </c>
      <c r="B191" s="40">
        <v>2014</v>
      </c>
      <c r="C191" s="40" t="s">
        <v>26</v>
      </c>
      <c r="D191" s="40">
        <v>7.8</v>
      </c>
      <c r="E191" s="40">
        <v>83</v>
      </c>
      <c r="F191" s="40" t="s">
        <v>206</v>
      </c>
      <c r="G191" s="40" t="s">
        <v>550</v>
      </c>
      <c r="H191" s="40" t="s">
        <v>13</v>
      </c>
      <c r="I191" s="40" t="s">
        <v>551</v>
      </c>
    </row>
    <row r="192" spans="1:9" x14ac:dyDescent="0.25">
      <c r="A192" s="39" t="s">
        <v>552</v>
      </c>
      <c r="B192" s="39">
        <v>2007</v>
      </c>
      <c r="C192" s="39" t="s">
        <v>48</v>
      </c>
      <c r="D192" s="39">
        <v>8.3000000000000007</v>
      </c>
      <c r="E192" s="39">
        <v>83</v>
      </c>
      <c r="F192" s="39" t="s">
        <v>163</v>
      </c>
      <c r="G192" s="39" t="s">
        <v>553</v>
      </c>
      <c r="H192" s="39" t="s">
        <v>33</v>
      </c>
      <c r="I192" s="39" t="s">
        <v>161</v>
      </c>
    </row>
    <row r="193" spans="1:9" x14ac:dyDescent="0.25">
      <c r="A193" s="40" t="s">
        <v>554</v>
      </c>
      <c r="B193" s="40">
        <v>2016</v>
      </c>
      <c r="C193" s="40" t="s">
        <v>26</v>
      </c>
      <c r="D193" s="40">
        <v>8.1</v>
      </c>
      <c r="E193" s="40">
        <v>83</v>
      </c>
      <c r="F193" s="40" t="s">
        <v>11</v>
      </c>
      <c r="G193" s="40" t="s">
        <v>555</v>
      </c>
      <c r="H193" s="40" t="s">
        <v>40</v>
      </c>
      <c r="I193" s="40" t="s">
        <v>34</v>
      </c>
    </row>
    <row r="194" spans="1:9" x14ac:dyDescent="0.25">
      <c r="A194" s="39" t="s">
        <v>556</v>
      </c>
      <c r="B194" s="39">
        <v>2011</v>
      </c>
      <c r="C194" s="39" t="s">
        <v>26</v>
      </c>
      <c r="D194" s="39">
        <v>7.8</v>
      </c>
      <c r="E194" s="39">
        <v>83</v>
      </c>
      <c r="F194" s="39" t="s">
        <v>42</v>
      </c>
      <c r="G194" s="39" t="s">
        <v>557</v>
      </c>
      <c r="H194" s="39" t="s">
        <v>111</v>
      </c>
      <c r="I194" s="39" t="s">
        <v>34</v>
      </c>
    </row>
    <row r="195" spans="1:9" x14ac:dyDescent="0.25">
      <c r="A195" s="40" t="s">
        <v>558</v>
      </c>
      <c r="B195" s="40">
        <v>2011</v>
      </c>
      <c r="C195" s="40" t="s">
        <v>26</v>
      </c>
      <c r="D195" s="40">
        <v>8.9</v>
      </c>
      <c r="E195" s="40">
        <v>83</v>
      </c>
      <c r="F195" s="40" t="s">
        <v>72</v>
      </c>
      <c r="G195" s="40" t="s">
        <v>559</v>
      </c>
      <c r="H195" s="40" t="s">
        <v>123</v>
      </c>
      <c r="I195" s="40" t="s">
        <v>204</v>
      </c>
    </row>
    <row r="196" spans="1:9" x14ac:dyDescent="0.25">
      <c r="A196" s="39" t="s">
        <v>560</v>
      </c>
      <c r="B196" s="39">
        <v>2005</v>
      </c>
      <c r="C196" s="39" t="s">
        <v>26</v>
      </c>
      <c r="D196" s="39">
        <v>7.8</v>
      </c>
      <c r="E196" s="39">
        <v>83</v>
      </c>
      <c r="F196" s="39" t="s">
        <v>561</v>
      </c>
      <c r="G196" s="39" t="s">
        <v>562</v>
      </c>
      <c r="H196" s="39" t="s">
        <v>169</v>
      </c>
      <c r="I196" s="39" t="s">
        <v>563</v>
      </c>
    </row>
    <row r="197" spans="1:9" x14ac:dyDescent="0.25">
      <c r="A197" s="40" t="s">
        <v>564</v>
      </c>
      <c r="B197" s="40">
        <v>2015</v>
      </c>
      <c r="C197" s="40" t="s">
        <v>10</v>
      </c>
      <c r="D197" s="40">
        <v>8.4</v>
      </c>
      <c r="E197" s="40">
        <v>83</v>
      </c>
      <c r="F197" s="40" t="s">
        <v>565</v>
      </c>
      <c r="G197" s="40" t="s">
        <v>566</v>
      </c>
      <c r="H197" s="40" t="s">
        <v>29</v>
      </c>
      <c r="I197" s="40" t="s">
        <v>244</v>
      </c>
    </row>
    <row r="198" spans="1:9" x14ac:dyDescent="0.25">
      <c r="A198" s="39" t="s">
        <v>567</v>
      </c>
      <c r="B198" s="39">
        <v>1993</v>
      </c>
      <c r="C198" s="39" t="s">
        <v>48</v>
      </c>
      <c r="D198" s="39">
        <v>8</v>
      </c>
      <c r="E198" s="39">
        <v>83</v>
      </c>
      <c r="F198" s="39" t="s">
        <v>568</v>
      </c>
      <c r="G198" s="39" t="s">
        <v>569</v>
      </c>
      <c r="H198" s="39" t="s">
        <v>263</v>
      </c>
      <c r="I198" s="39" t="s">
        <v>570</v>
      </c>
    </row>
    <row r="199" spans="1:9" x14ac:dyDescent="0.25">
      <c r="A199" s="40" t="s">
        <v>571</v>
      </c>
      <c r="B199" s="40">
        <v>2019</v>
      </c>
      <c r="C199" s="40" t="s">
        <v>10</v>
      </c>
      <c r="D199" s="40">
        <v>8.4</v>
      </c>
      <c r="E199" s="40">
        <v>83</v>
      </c>
      <c r="F199" s="40" t="s">
        <v>163</v>
      </c>
      <c r="G199" s="40" t="s">
        <v>572</v>
      </c>
      <c r="H199" s="40" t="s">
        <v>80</v>
      </c>
      <c r="I199" s="40" t="s">
        <v>403</v>
      </c>
    </row>
    <row r="200" spans="1:9" x14ac:dyDescent="0.25">
      <c r="A200" s="39" t="s">
        <v>573</v>
      </c>
      <c r="B200" s="39">
        <v>2019</v>
      </c>
      <c r="C200" s="39" t="s">
        <v>10</v>
      </c>
      <c r="D200" s="39">
        <v>7.9</v>
      </c>
      <c r="E200" s="39">
        <v>83</v>
      </c>
      <c r="F200" s="39" t="s">
        <v>163</v>
      </c>
      <c r="G200" s="39" t="s">
        <v>574</v>
      </c>
      <c r="H200" s="39" t="s">
        <v>40</v>
      </c>
      <c r="I200" s="39"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tabSelected="1" workbookViewId="0">
      <selection activeCell="C3" sqref="C3"/>
    </sheetView>
  </sheetViews>
  <sheetFormatPr defaultRowHeight="15" x14ac:dyDescent="0.25"/>
  <cols>
    <col min="1" max="1" width="78.28515625" bestFit="1" customWidth="1"/>
    <col min="2" max="2" width="3.85546875" customWidth="1"/>
    <col min="3" max="3" width="14.28515625" bestFit="1" customWidth="1"/>
  </cols>
  <sheetData>
    <row r="1" spans="1:3" ht="22.5" x14ac:dyDescent="0.25">
      <c r="A1" s="12" t="s">
        <v>775</v>
      </c>
      <c r="C1" s="14" t="s">
        <v>782</v>
      </c>
    </row>
    <row r="2" spans="1:3" ht="18.75" x14ac:dyDescent="0.25">
      <c r="A2" s="13" t="s">
        <v>776</v>
      </c>
      <c r="C2" s="15">
        <f>COUNTA(All_Streaming_Shows!A:A)-1</f>
        <v>199</v>
      </c>
    </row>
    <row r="3" spans="1:3" ht="18.75" x14ac:dyDescent="0.25">
      <c r="A3" s="13" t="s">
        <v>777</v>
      </c>
      <c r="C3" s="15">
        <f>MAX(All_Streaming_Shows!D:D)</f>
        <v>9.5</v>
      </c>
    </row>
    <row r="4" spans="1:3" ht="18.75" x14ac:dyDescent="0.25">
      <c r="A4" s="13" t="s">
        <v>778</v>
      </c>
      <c r="C4" s="15">
        <f>MIN(All_Streaming_Shows!D:D)</f>
        <v>7.3</v>
      </c>
    </row>
    <row r="5" spans="1:3" ht="18.75" x14ac:dyDescent="0.25">
      <c r="A5" s="13" t="s">
        <v>779</v>
      </c>
      <c r="C5" s="16">
        <f>AVERAGE(All_Streaming_Shows!D:D)</f>
        <v>8.4487437185929632</v>
      </c>
    </row>
    <row r="6" spans="1:3" ht="18.75" x14ac:dyDescent="0.25">
      <c r="A6" s="13" t="s">
        <v>780</v>
      </c>
      <c r="C6" s="15">
        <f>COUNTIF(All_Streaming_Shows!B:B,"&gt;2015")</f>
        <v>66</v>
      </c>
    </row>
    <row r="7" spans="1:3" ht="18.75" x14ac:dyDescent="0.25">
      <c r="A7" s="13" t="s">
        <v>781</v>
      </c>
      <c r="C7" s="15">
        <f>COUNTIF(All_Streaming_Shows!C:C,"18+")</f>
        <v>106</v>
      </c>
    </row>
    <row r="8" spans="1:3" ht="18.75" x14ac:dyDescent="0.25">
      <c r="A8" s="13" t="s">
        <v>783</v>
      </c>
      <c r="C8" s="15">
        <f>COUNTIF(All_Streaming_Shows!F:F,"*Drama*")</f>
        <v>116</v>
      </c>
    </row>
    <row r="9" spans="1:3" ht="18.75" x14ac:dyDescent="0.25">
      <c r="A9" s="13" t="s">
        <v>784</v>
      </c>
      <c r="C9" s="15">
        <f>COUNTIF(All_Streaming_Shows!I:I,All_Streaming_Shows!I2)</f>
        <v>49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7C689-B50F-4E80-B3EF-70548B1C8ACF}">
  <dimension ref="A1:C10"/>
  <sheetViews>
    <sheetView workbookViewId="0">
      <selection activeCell="A15" sqref="A15"/>
    </sheetView>
  </sheetViews>
  <sheetFormatPr defaultRowHeight="15" x14ac:dyDescent="0.25"/>
  <cols>
    <col min="1" max="1" width="88.5703125" customWidth="1"/>
    <col min="2" max="2" width="2.42578125" customWidth="1"/>
    <col min="3" max="3" width="14.28515625" bestFit="1" customWidth="1"/>
  </cols>
  <sheetData>
    <row r="1" spans="1:3" ht="22.5" x14ac:dyDescent="0.25">
      <c r="A1" s="12" t="s">
        <v>785</v>
      </c>
      <c r="C1" s="14" t="s">
        <v>782</v>
      </c>
    </row>
    <row r="2" spans="1:3" ht="18.75" x14ac:dyDescent="0.25">
      <c r="A2" s="13" t="s">
        <v>817</v>
      </c>
      <c r="C2" s="17">
        <f>COUNTIF(All_Streaming_Shows!D:D,"&gt;9")</f>
        <v>13</v>
      </c>
    </row>
    <row r="3" spans="1:3" ht="18.75" x14ac:dyDescent="0.25">
      <c r="A3" s="13" t="s">
        <v>818</v>
      </c>
      <c r="C3" s="17">
        <f>COUNTIF(All_Streaming_Shows!F:F,"*Comedy*")</f>
        <v>64</v>
      </c>
    </row>
    <row r="4" spans="1:3" ht="18.75" x14ac:dyDescent="0.25">
      <c r="A4" s="13" t="s">
        <v>819</v>
      </c>
      <c r="C4" s="18">
        <f>AVERAGEIFS(All_Streaming_Shows!D:D,All_Streaming_Shows!C:C,"&gt;18+")</f>
        <v>8.5640000000000001</v>
      </c>
    </row>
    <row r="5" spans="1:3" ht="18.75" x14ac:dyDescent="0.25">
      <c r="A5" s="13" t="s">
        <v>820</v>
      </c>
      <c r="C5" s="19">
        <f>COUNTIF(All_Streaming_Shows!B:B,"&lt;2010")</f>
        <v>66</v>
      </c>
    </row>
    <row r="6" spans="1:3" ht="18.75" x14ac:dyDescent="0.25">
      <c r="A6" s="13" t="s">
        <v>821</v>
      </c>
      <c r="C6" s="17">
        <f>COUNTIF(All_Streaming_Shows!I:I,"Netflix")</f>
        <v>49</v>
      </c>
    </row>
    <row r="7" spans="1:3" ht="18.75" x14ac:dyDescent="0.25">
      <c r="A7" s="13" t="s">
        <v>822</v>
      </c>
      <c r="C7" s="17">
        <f>COUNTIF(All_Streaming_Shows!I:I,"*,*")</f>
        <v>110</v>
      </c>
    </row>
    <row r="8" spans="1:3" ht="18.75" x14ac:dyDescent="0.25">
      <c r="A8" s="13" t="s">
        <v>823</v>
      </c>
      <c r="C8" s="18">
        <f>AVERAGEIFS(All_Streaming_Shows!D:D,All_Streaming_Shows!F:F,"*Action &amp; Adventure*")</f>
        <v>8.4379999999999988</v>
      </c>
    </row>
    <row r="9" spans="1:3" ht="18.75" x14ac:dyDescent="0.25">
      <c r="A9" s="13" t="s">
        <v>786</v>
      </c>
      <c r="C9" s="17">
        <f>COUNTIF(All_Streaming_Shows!H:H,"&gt;3*")</f>
        <v>116</v>
      </c>
    </row>
    <row r="10" spans="1:3" x14ac:dyDescent="0.25">
      <c r="C1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F47F-9B14-4052-9944-C0375630DF6E}">
  <dimension ref="A1:G17"/>
  <sheetViews>
    <sheetView workbookViewId="0">
      <selection activeCell="A15" sqref="A15"/>
    </sheetView>
  </sheetViews>
  <sheetFormatPr defaultRowHeight="15" x14ac:dyDescent="0.25"/>
  <cols>
    <col min="1" max="1" width="82" bestFit="1" customWidth="1"/>
    <col min="2" max="2" width="12.140625" customWidth="1"/>
    <col min="3" max="4" width="14.28515625" bestFit="1" customWidth="1"/>
    <col min="5" max="5" width="12.85546875" bestFit="1" customWidth="1"/>
    <col min="6" max="6" width="31.7109375" bestFit="1" customWidth="1"/>
    <col min="7" max="7" width="18.42578125" bestFit="1" customWidth="1"/>
    <col min="8" max="8" width="13.5703125" bestFit="1" customWidth="1"/>
    <col min="9" max="9" width="37.140625" bestFit="1" customWidth="1"/>
  </cols>
  <sheetData>
    <row r="1" spans="1:7" ht="20.25" x14ac:dyDescent="0.25">
      <c r="A1" s="30" t="s">
        <v>787</v>
      </c>
    </row>
    <row r="2" spans="1:7" ht="18.75" x14ac:dyDescent="0.25">
      <c r="A2" s="13" t="s">
        <v>824</v>
      </c>
    </row>
    <row r="3" spans="1:7" ht="18.75" x14ac:dyDescent="0.25">
      <c r="A3" s="13" t="s">
        <v>836</v>
      </c>
    </row>
    <row r="4" spans="1:7" ht="14.25" customHeight="1" x14ac:dyDescent="0.25">
      <c r="A4" s="13" t="s">
        <v>825</v>
      </c>
    </row>
    <row r="5" spans="1:7" ht="18.75" x14ac:dyDescent="0.25">
      <c r="A5" s="13" t="s">
        <v>826</v>
      </c>
    </row>
    <row r="6" spans="1:7" ht="18.75" x14ac:dyDescent="0.25">
      <c r="A6" s="13" t="s">
        <v>827</v>
      </c>
    </row>
    <row r="7" spans="1:7" ht="18.75" x14ac:dyDescent="0.25">
      <c r="A7" s="13" t="s">
        <v>828</v>
      </c>
    </row>
    <row r="11" spans="1:7" ht="18.75" x14ac:dyDescent="0.25">
      <c r="A11" s="20" t="s">
        <v>782</v>
      </c>
      <c r="B11" s="24" t="s">
        <v>829</v>
      </c>
      <c r="C11" s="24" t="s">
        <v>830</v>
      </c>
      <c r="D11" s="24" t="s">
        <v>832</v>
      </c>
      <c r="E11" s="24" t="s">
        <v>833</v>
      </c>
      <c r="F11" s="24" t="s">
        <v>834</v>
      </c>
      <c r="G11" s="24" t="s">
        <v>835</v>
      </c>
    </row>
    <row r="12" spans="1:7" x14ac:dyDescent="0.25">
      <c r="A12" s="23" t="s">
        <v>0</v>
      </c>
      <c r="B12" s="23" t="s">
        <v>3</v>
      </c>
      <c r="C12" s="23" t="s">
        <v>1</v>
      </c>
      <c r="D12" s="23" t="s">
        <v>2</v>
      </c>
      <c r="E12" s="23" t="s">
        <v>5</v>
      </c>
      <c r="F12" s="23" t="s">
        <v>8</v>
      </c>
      <c r="G12" s="23" t="s">
        <v>831</v>
      </c>
    </row>
    <row r="13" spans="1:7" x14ac:dyDescent="0.25">
      <c r="A13" s="21" t="s">
        <v>417</v>
      </c>
      <c r="B13" s="21">
        <f>VLOOKUP(A13,series,4,0)</f>
        <v>8.4</v>
      </c>
      <c r="C13" s="21">
        <f>VLOOKUP(A13,series,2,0)</f>
        <v>2015</v>
      </c>
      <c r="D13" s="21" t="str">
        <f>VLOOKUP(A13,series,3,0)</f>
        <v>16+</v>
      </c>
      <c r="E13" s="21" t="str">
        <f>VLOOKUP(A13,series,6,0)</f>
        <v>Comedy,2015</v>
      </c>
      <c r="F13" s="21" t="str">
        <f>VLOOKUP(A13,series,9,0)</f>
        <v>Free Services,Netflix,Prime Video</v>
      </c>
      <c r="G13" s="21" t="str">
        <f>VLOOKUP(A13,series,8,0)</f>
        <v>6 Seasons</v>
      </c>
    </row>
    <row r="14" spans="1:7" x14ac:dyDescent="0.25">
      <c r="A14" s="22" t="s">
        <v>420</v>
      </c>
      <c r="B14" s="21">
        <f>VLOOKUP(A14,series,4,0)</f>
        <v>7.7</v>
      </c>
      <c r="C14" s="21">
        <f>VLOOKUP(A14,series,2,0)</f>
        <v>2011</v>
      </c>
      <c r="D14" s="21" t="str">
        <f>VLOOKUP(A14,series,3,0)</f>
        <v>16+</v>
      </c>
      <c r="E14" s="21" t="str">
        <f>VLOOKUP(A14,series,6,0)</f>
        <v>Comedy,2011</v>
      </c>
      <c r="F14" s="21" t="str">
        <f>VLOOKUP(A14,series,9,0)</f>
        <v>Netflix,TBS</v>
      </c>
      <c r="G14" s="21" t="str">
        <f>VLOOKUP(A14,series,8,0)</f>
        <v>7 Seasons</v>
      </c>
    </row>
    <row r="15" spans="1:7" x14ac:dyDescent="0.25">
      <c r="A15" s="21" t="s">
        <v>424</v>
      </c>
      <c r="B15" s="21">
        <f>VLOOKUP(A15,series,4,0)</f>
        <v>8.6999999999999993</v>
      </c>
      <c r="C15" s="21">
        <f>VLOOKUP(A15,series,2,0)</f>
        <v>2002</v>
      </c>
      <c r="D15" s="21" t="str">
        <f>VLOOKUP(A15,series,3,0)</f>
        <v>18+</v>
      </c>
      <c r="E15" s="21" t="str">
        <f>VLOOKUP(A15,series,6,0)</f>
        <v>Crime,Drama</v>
      </c>
      <c r="F15" s="21" t="str">
        <f>VLOOKUP(A15,series,9,0)</f>
        <v>Hulu</v>
      </c>
      <c r="G15" s="21" t="str">
        <f>VLOOKUP(A15,series,8,0)</f>
        <v>7Seasons</v>
      </c>
    </row>
    <row r="16" spans="1:7" x14ac:dyDescent="0.25">
      <c r="A16" s="22" t="s">
        <v>426</v>
      </c>
      <c r="B16" s="21">
        <f>VLOOKUP(A16,series,4,0)</f>
        <v>8.6999999999999993</v>
      </c>
      <c r="C16" s="21">
        <f>VLOOKUP(A16,series,2,0)</f>
        <v>2012</v>
      </c>
      <c r="D16" s="21" t="str">
        <f>VLOOKUP(A16,series,3,0)</f>
        <v>18+</v>
      </c>
      <c r="E16" s="21" t="str">
        <f>VLOOKUP(A16,series,6,0)</f>
        <v>Crime,Drama</v>
      </c>
      <c r="F16" s="21" t="str">
        <f>VLOOKUP(A16,series,9,0)</f>
        <v>Hulu,AcornTV,AMC</v>
      </c>
      <c r="G16" s="21" t="str">
        <f>VLOOKUP(A16,series,8,0)</f>
        <v>5Seasons</v>
      </c>
    </row>
    <row r="17" spans="1:7" x14ac:dyDescent="0.25">
      <c r="A17" s="22" t="s">
        <v>429</v>
      </c>
      <c r="B17" s="21">
        <f>VLOOKUP(A17,series,4,0)</f>
        <v>8.1</v>
      </c>
      <c r="C17" s="21">
        <f>VLOOKUP(A17,series,2,0)</f>
        <v>2018</v>
      </c>
      <c r="D17" s="21" t="str">
        <f>VLOOKUP(A17,series,3,0)</f>
        <v>18+</v>
      </c>
      <c r="E17" s="21" t="str">
        <f>VLOOKUP(A17,series,6,0)</f>
        <v>Thriller,Crime</v>
      </c>
      <c r="F17" s="21" t="str">
        <f>VLOOKUP(A17,series,9,0)</f>
        <v>Netflix</v>
      </c>
      <c r="G17" s="21" t="str">
        <f>VLOOKUP(A17,series,8,0)</f>
        <v>1Season</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E55B-9679-4E74-B428-0BFB1669206E}">
  <dimension ref="A1:Z9"/>
  <sheetViews>
    <sheetView workbookViewId="0">
      <selection activeCell="A15" sqref="A15"/>
    </sheetView>
  </sheetViews>
  <sheetFormatPr defaultRowHeight="15" x14ac:dyDescent="0.25"/>
  <cols>
    <col min="1" max="1" width="18.42578125" bestFit="1" customWidth="1"/>
    <col min="2" max="900" width="255.7109375" bestFit="1" customWidth="1"/>
  </cols>
  <sheetData>
    <row r="1" spans="1:26" x14ac:dyDescent="0.25">
      <c r="A1" s="1" t="s">
        <v>0</v>
      </c>
      <c r="B1" s="4" t="s">
        <v>9</v>
      </c>
      <c r="C1" s="7" t="s">
        <v>15</v>
      </c>
      <c r="D1" s="4" t="s">
        <v>20</v>
      </c>
      <c r="E1" s="7" t="s">
        <v>25</v>
      </c>
      <c r="F1" s="4" t="s">
        <v>30</v>
      </c>
      <c r="G1" s="7" t="s">
        <v>35</v>
      </c>
      <c r="H1" s="4" t="s">
        <v>37</v>
      </c>
      <c r="I1" s="7" t="s">
        <v>41</v>
      </c>
      <c r="J1" s="4" t="s">
        <v>44</v>
      </c>
      <c r="K1" s="7" t="s">
        <v>47</v>
      </c>
      <c r="L1" s="4" t="s">
        <v>52</v>
      </c>
      <c r="M1" s="7" t="s">
        <v>57</v>
      </c>
      <c r="N1" s="4" t="s">
        <v>62</v>
      </c>
      <c r="O1" s="7" t="s">
        <v>66</v>
      </c>
      <c r="P1" s="4" t="s">
        <v>68</v>
      </c>
      <c r="Q1" s="7" t="s">
        <v>71</v>
      </c>
      <c r="R1" s="4" t="s">
        <v>75</v>
      </c>
      <c r="S1" s="7" t="s">
        <v>78</v>
      </c>
      <c r="T1" s="4" t="s">
        <v>81</v>
      </c>
      <c r="U1" s="7" t="s">
        <v>85</v>
      </c>
      <c r="V1" s="4" t="s">
        <v>88</v>
      </c>
      <c r="W1" s="7" t="s">
        <v>91</v>
      </c>
      <c r="X1" s="4" t="s">
        <v>95</v>
      </c>
      <c r="Y1" s="7" t="s">
        <v>98</v>
      </c>
      <c r="Z1" s="4" t="s">
        <v>101</v>
      </c>
    </row>
    <row r="2" spans="1:26" x14ac:dyDescent="0.25">
      <c r="A2" s="2" t="s">
        <v>1</v>
      </c>
      <c r="B2" s="5">
        <v>2008</v>
      </c>
      <c r="C2" s="8">
        <v>2011</v>
      </c>
      <c r="D2" s="5">
        <v>2013</v>
      </c>
      <c r="E2" s="8">
        <v>2016</v>
      </c>
      <c r="F2" s="5">
        <v>2019</v>
      </c>
      <c r="G2" s="8">
        <v>2017</v>
      </c>
      <c r="H2" s="5">
        <v>2019</v>
      </c>
      <c r="I2" s="8">
        <v>2010</v>
      </c>
      <c r="J2" s="5">
        <v>2014</v>
      </c>
      <c r="K2" s="8">
        <v>2005</v>
      </c>
      <c r="L2" s="5">
        <v>1994</v>
      </c>
      <c r="M2" s="8">
        <v>2005</v>
      </c>
      <c r="N2" s="5">
        <v>2005</v>
      </c>
      <c r="O2" s="8">
        <v>2002</v>
      </c>
      <c r="P2" s="5">
        <v>2015</v>
      </c>
      <c r="Q2" s="8">
        <v>2013</v>
      </c>
      <c r="R2" s="5">
        <v>2011</v>
      </c>
      <c r="S2" s="8">
        <v>2001</v>
      </c>
      <c r="T2" s="5">
        <v>2004</v>
      </c>
      <c r="U2" s="8">
        <v>2016</v>
      </c>
      <c r="V2" s="5">
        <v>2017</v>
      </c>
      <c r="W2" s="8">
        <v>2015</v>
      </c>
      <c r="X2" s="5">
        <v>2013</v>
      </c>
      <c r="Y2" s="8">
        <v>2018</v>
      </c>
      <c r="Z2" s="5">
        <v>1989</v>
      </c>
    </row>
    <row r="3" spans="1:26" x14ac:dyDescent="0.25">
      <c r="A3" s="2" t="s">
        <v>2</v>
      </c>
      <c r="B3" s="5" t="s">
        <v>10</v>
      </c>
      <c r="C3" s="8" t="s">
        <v>10</v>
      </c>
      <c r="D3" s="5" t="s">
        <v>10</v>
      </c>
      <c r="E3" s="8" t="s">
        <v>26</v>
      </c>
      <c r="F3" s="5" t="s">
        <v>10</v>
      </c>
      <c r="G3" s="8" t="s">
        <v>26</v>
      </c>
      <c r="H3" s="5" t="s">
        <v>10</v>
      </c>
      <c r="I3" s="8" t="s">
        <v>26</v>
      </c>
      <c r="J3" s="5" t="s">
        <v>10</v>
      </c>
      <c r="K3" s="8" t="s">
        <v>48</v>
      </c>
      <c r="L3" s="5" t="s">
        <v>26</v>
      </c>
      <c r="M3" s="8" t="s">
        <v>26</v>
      </c>
      <c r="N3" s="5" t="s">
        <v>26</v>
      </c>
      <c r="O3" s="8" t="s">
        <v>10</v>
      </c>
      <c r="P3" s="5" t="s">
        <v>10</v>
      </c>
      <c r="Q3" s="8" t="s">
        <v>10</v>
      </c>
      <c r="R3" s="5" t="s">
        <v>10</v>
      </c>
      <c r="S3" s="8" t="s">
        <v>10</v>
      </c>
      <c r="T3" s="5" t="s">
        <v>26</v>
      </c>
      <c r="U3" s="8" t="s">
        <v>26</v>
      </c>
      <c r="V3" s="5" t="s">
        <v>10</v>
      </c>
      <c r="W3" s="8" t="s">
        <v>10</v>
      </c>
      <c r="X3" s="5" t="s">
        <v>10</v>
      </c>
      <c r="Y3" s="8" t="s">
        <v>26</v>
      </c>
      <c r="Z3" s="5" t="s">
        <v>48</v>
      </c>
    </row>
    <row r="4" spans="1:26" x14ac:dyDescent="0.25">
      <c r="A4" s="2" t="s">
        <v>3</v>
      </c>
      <c r="B4" s="5">
        <v>9.5</v>
      </c>
      <c r="C4" s="8">
        <v>9.3000000000000007</v>
      </c>
      <c r="D4" s="5">
        <v>9.1999999999999993</v>
      </c>
      <c r="E4" s="8">
        <v>8.8000000000000007</v>
      </c>
      <c r="F4" s="5">
        <v>8.6999999999999993</v>
      </c>
      <c r="G4" s="8">
        <v>8.8000000000000007</v>
      </c>
      <c r="H4" s="5">
        <v>9.4</v>
      </c>
      <c r="I4" s="8">
        <v>9.1</v>
      </c>
      <c r="J4" s="5">
        <v>8.9</v>
      </c>
      <c r="K4" s="8">
        <v>9.1999999999999993</v>
      </c>
      <c r="L4" s="5">
        <v>8.9</v>
      </c>
      <c r="M4" s="8">
        <v>8.9</v>
      </c>
      <c r="N4" s="5">
        <v>8.4</v>
      </c>
      <c r="O4" s="8">
        <v>9.3000000000000007</v>
      </c>
      <c r="P4" s="5">
        <v>8.6999999999999993</v>
      </c>
      <c r="Q4" s="8">
        <v>8.8000000000000007</v>
      </c>
      <c r="R4" s="5">
        <v>8.8000000000000007</v>
      </c>
      <c r="S4" s="8">
        <v>9.4</v>
      </c>
      <c r="T4" s="5">
        <v>8.6999999999999993</v>
      </c>
      <c r="U4" s="8">
        <v>8.1999999999999993</v>
      </c>
      <c r="V4" s="5">
        <v>8.4</v>
      </c>
      <c r="W4" s="8">
        <v>8.5</v>
      </c>
      <c r="X4" s="5">
        <v>8.8000000000000007</v>
      </c>
      <c r="Y4" s="8">
        <v>8.8000000000000007</v>
      </c>
      <c r="Z4" s="5">
        <v>8.6999999999999993</v>
      </c>
    </row>
    <row r="5" spans="1:26" x14ac:dyDescent="0.25">
      <c r="A5" s="2" t="s">
        <v>4</v>
      </c>
      <c r="B5" s="5">
        <v>100</v>
      </c>
      <c r="C5" s="8">
        <v>99</v>
      </c>
      <c r="D5" s="5">
        <v>97</v>
      </c>
      <c r="E5" s="8">
        <v>96</v>
      </c>
      <c r="F5" s="5">
        <v>95</v>
      </c>
      <c r="G5" s="8">
        <v>95</v>
      </c>
      <c r="H5" s="5">
        <v>95</v>
      </c>
      <c r="I5" s="8">
        <v>94</v>
      </c>
      <c r="J5" s="5">
        <v>94</v>
      </c>
      <c r="K5" s="8">
        <v>94</v>
      </c>
      <c r="L5" s="5">
        <v>94</v>
      </c>
      <c r="M5" s="8">
        <v>93</v>
      </c>
      <c r="N5" s="5">
        <v>93</v>
      </c>
      <c r="O5" s="8">
        <v>93</v>
      </c>
      <c r="P5" s="5">
        <v>92</v>
      </c>
      <c r="Q5" s="8">
        <v>92</v>
      </c>
      <c r="R5" s="5">
        <v>92</v>
      </c>
      <c r="S5" s="8">
        <v>92</v>
      </c>
      <c r="T5" s="5">
        <v>92</v>
      </c>
      <c r="U5" s="8">
        <v>92</v>
      </c>
      <c r="V5" s="5">
        <v>92</v>
      </c>
      <c r="W5" s="8">
        <v>92</v>
      </c>
      <c r="X5" s="5">
        <v>92</v>
      </c>
      <c r="Y5" s="8">
        <v>91</v>
      </c>
      <c r="Z5" s="5">
        <v>91</v>
      </c>
    </row>
    <row r="6" spans="1:26" x14ac:dyDescent="0.25">
      <c r="A6" s="2" t="s">
        <v>5</v>
      </c>
      <c r="B6" s="5" t="s">
        <v>11</v>
      </c>
      <c r="C6" s="8" t="s">
        <v>16</v>
      </c>
      <c r="D6" s="5" t="s">
        <v>21</v>
      </c>
      <c r="E6" s="8" t="s">
        <v>27</v>
      </c>
      <c r="F6" s="5" t="s">
        <v>31</v>
      </c>
      <c r="G6" s="8" t="s">
        <v>11</v>
      </c>
      <c r="H6" s="5" t="s">
        <v>38</v>
      </c>
      <c r="I6" s="8" t="s">
        <v>42</v>
      </c>
      <c r="J6" s="5" t="s">
        <v>11</v>
      </c>
      <c r="K6" s="8" t="s">
        <v>49</v>
      </c>
      <c r="L6" s="5" t="s">
        <v>53</v>
      </c>
      <c r="M6" s="8" t="s">
        <v>58</v>
      </c>
      <c r="N6" s="5" t="s">
        <v>27</v>
      </c>
      <c r="O6" s="8" t="s">
        <v>11</v>
      </c>
      <c r="P6" s="5" t="s">
        <v>69</v>
      </c>
      <c r="Q6" s="8" t="s">
        <v>72</v>
      </c>
      <c r="R6" s="5" t="s">
        <v>76</v>
      </c>
      <c r="S6" s="8" t="s">
        <v>16</v>
      </c>
      <c r="T6" s="5" t="s">
        <v>82</v>
      </c>
      <c r="U6" s="8" t="s">
        <v>86</v>
      </c>
      <c r="V6" s="5" t="s">
        <v>89</v>
      </c>
      <c r="W6" s="8" t="s">
        <v>92</v>
      </c>
      <c r="X6" s="5" t="s">
        <v>11</v>
      </c>
      <c r="Y6" s="8" t="s">
        <v>16</v>
      </c>
      <c r="Z6" s="5" t="s">
        <v>21</v>
      </c>
    </row>
    <row r="7" spans="1:26" x14ac:dyDescent="0.25">
      <c r="A7" s="2" t="s">
        <v>6</v>
      </c>
      <c r="B7" s="5" t="s">
        <v>12</v>
      </c>
      <c r="C7" s="8" t="s">
        <v>17</v>
      </c>
      <c r="D7" s="5" t="s">
        <v>22</v>
      </c>
      <c r="E7" s="8" t="s">
        <v>28</v>
      </c>
      <c r="F7" s="5" t="s">
        <v>32</v>
      </c>
      <c r="G7" s="8" t="s">
        <v>36</v>
      </c>
      <c r="H7" s="5" t="s">
        <v>39</v>
      </c>
      <c r="I7" s="8" t="s">
        <v>43</v>
      </c>
      <c r="J7" s="5" t="s">
        <v>45</v>
      </c>
      <c r="K7" s="8" t="s">
        <v>50</v>
      </c>
      <c r="L7" s="5" t="s">
        <v>54</v>
      </c>
      <c r="M7" s="8" t="s">
        <v>59</v>
      </c>
      <c r="N7" s="5" t="s">
        <v>63</v>
      </c>
      <c r="O7" s="8" t="s">
        <v>67</v>
      </c>
      <c r="P7" s="5" t="s">
        <v>70</v>
      </c>
      <c r="Q7" s="8" t="s">
        <v>73</v>
      </c>
      <c r="R7" s="5" t="s">
        <v>77</v>
      </c>
      <c r="S7" s="8" t="s">
        <v>79</v>
      </c>
      <c r="T7" s="5" t="s">
        <v>83</v>
      </c>
      <c r="U7" s="8" t="s">
        <v>87</v>
      </c>
      <c r="V7" s="5" t="s">
        <v>90</v>
      </c>
      <c r="W7" s="8" t="s">
        <v>93</v>
      </c>
      <c r="X7" s="5" t="s">
        <v>96</v>
      </c>
      <c r="Y7" s="8" t="s">
        <v>99</v>
      </c>
      <c r="Z7" s="5" t="s">
        <v>102</v>
      </c>
    </row>
    <row r="8" spans="1:26" x14ac:dyDescent="0.25">
      <c r="A8" s="2" t="s">
        <v>7</v>
      </c>
      <c r="B8" s="5" t="s">
        <v>13</v>
      </c>
      <c r="C8" s="8" t="s">
        <v>18</v>
      </c>
      <c r="D8" s="5" t="s">
        <v>23</v>
      </c>
      <c r="E8" s="8" t="s">
        <v>29</v>
      </c>
      <c r="F8" s="5" t="s">
        <v>33</v>
      </c>
      <c r="G8" s="8" t="s">
        <v>29</v>
      </c>
      <c r="H8" s="5" t="s">
        <v>40</v>
      </c>
      <c r="I8" s="8" t="s">
        <v>23</v>
      </c>
      <c r="J8" s="5" t="s">
        <v>29</v>
      </c>
      <c r="K8" s="8" t="s">
        <v>29</v>
      </c>
      <c r="L8" s="5" t="s">
        <v>55</v>
      </c>
      <c r="M8" s="8" t="s">
        <v>60</v>
      </c>
      <c r="N8" s="5" t="s">
        <v>64</v>
      </c>
      <c r="O8" s="8" t="s">
        <v>13</v>
      </c>
      <c r="P8" s="5" t="s">
        <v>13</v>
      </c>
      <c r="Q8" s="8" t="s">
        <v>29</v>
      </c>
      <c r="R8" s="5" t="s">
        <v>13</v>
      </c>
      <c r="S8" s="8" t="s">
        <v>80</v>
      </c>
      <c r="T8" s="5" t="s">
        <v>18</v>
      </c>
      <c r="U8" s="8" t="s">
        <v>13</v>
      </c>
      <c r="V8" s="5" t="s">
        <v>33</v>
      </c>
      <c r="W8" s="8" t="s">
        <v>23</v>
      </c>
      <c r="X8" s="5" t="s">
        <v>97</v>
      </c>
      <c r="Y8" s="8" t="s">
        <v>33</v>
      </c>
      <c r="Z8" s="5" t="s">
        <v>103</v>
      </c>
    </row>
    <row r="9" spans="1:26" x14ac:dyDescent="0.25">
      <c r="A9" s="3" t="s">
        <v>8</v>
      </c>
      <c r="B9" s="6" t="s">
        <v>14</v>
      </c>
      <c r="C9" s="9" t="s">
        <v>19</v>
      </c>
      <c r="D9" s="6" t="s">
        <v>24</v>
      </c>
      <c r="E9" s="9" t="s">
        <v>14</v>
      </c>
      <c r="F9" s="6" t="s">
        <v>34</v>
      </c>
      <c r="G9" s="9" t="s">
        <v>14</v>
      </c>
      <c r="H9" s="6" t="s">
        <v>19</v>
      </c>
      <c r="I9" s="9" t="s">
        <v>14</v>
      </c>
      <c r="J9" s="6" t="s">
        <v>46</v>
      </c>
      <c r="K9" s="9" t="s">
        <v>51</v>
      </c>
      <c r="L9" s="6" t="s">
        <v>56</v>
      </c>
      <c r="M9" s="9" t="s">
        <v>61</v>
      </c>
      <c r="N9" s="6" t="s">
        <v>65</v>
      </c>
      <c r="O9" s="9" t="s">
        <v>19</v>
      </c>
      <c r="P9" s="6" t="s">
        <v>14</v>
      </c>
      <c r="Q9" s="9" t="s">
        <v>74</v>
      </c>
      <c r="R9" s="6" t="s">
        <v>14</v>
      </c>
      <c r="S9" s="9" t="s">
        <v>19</v>
      </c>
      <c r="T9" s="6" t="s">
        <v>84</v>
      </c>
      <c r="U9" s="9" t="s">
        <v>14</v>
      </c>
      <c r="V9" s="6" t="s">
        <v>14</v>
      </c>
      <c r="W9" s="9" t="s">
        <v>94</v>
      </c>
      <c r="X9" s="6" t="s">
        <v>14</v>
      </c>
      <c r="Y9" s="9" t="s">
        <v>100</v>
      </c>
      <c r="Z9" s="6" t="s">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28A0-F8C7-4451-B80C-15C50108402A}">
  <dimension ref="A1:H16"/>
  <sheetViews>
    <sheetView workbookViewId="0">
      <selection activeCell="A15" sqref="A15"/>
    </sheetView>
  </sheetViews>
  <sheetFormatPr defaultRowHeight="15" x14ac:dyDescent="0.25"/>
  <cols>
    <col min="1" max="1" width="77.42578125" customWidth="1"/>
    <col min="2" max="2" width="18.42578125" bestFit="1" customWidth="1"/>
    <col min="3" max="3" width="14.7109375" bestFit="1" customWidth="1"/>
    <col min="4" max="4" width="25.140625" bestFit="1" customWidth="1"/>
    <col min="5" max="5" width="27" bestFit="1" customWidth="1"/>
    <col min="6" max="6" width="25.28515625" bestFit="1" customWidth="1"/>
    <col min="7" max="7" width="27.7109375" bestFit="1" customWidth="1"/>
  </cols>
  <sheetData>
    <row r="1" spans="1:8" ht="20.25" x14ac:dyDescent="0.25">
      <c r="A1" s="30" t="s">
        <v>788</v>
      </c>
    </row>
    <row r="2" spans="1:8" ht="18.75" x14ac:dyDescent="0.25">
      <c r="A2" s="13" t="s">
        <v>789</v>
      </c>
    </row>
    <row r="3" spans="1:8" ht="18.75" x14ac:dyDescent="0.25">
      <c r="A3" s="13" t="s">
        <v>790</v>
      </c>
    </row>
    <row r="4" spans="1:8" ht="18.75" x14ac:dyDescent="0.25">
      <c r="A4" s="13" t="s">
        <v>791</v>
      </c>
    </row>
    <row r="5" spans="1:8" ht="18.75" x14ac:dyDescent="0.25">
      <c r="A5" s="13" t="s">
        <v>792</v>
      </c>
    </row>
    <row r="6" spans="1:8" ht="18.75" x14ac:dyDescent="0.25">
      <c r="A6" s="13" t="s">
        <v>793</v>
      </c>
    </row>
    <row r="7" spans="1:8" ht="18.75" x14ac:dyDescent="0.25">
      <c r="A7" s="13" t="s">
        <v>794</v>
      </c>
    </row>
    <row r="10" spans="1:8" ht="18.75" x14ac:dyDescent="0.25">
      <c r="A10" s="20" t="s">
        <v>782</v>
      </c>
      <c r="B10" s="23" t="s">
        <v>0</v>
      </c>
      <c r="C10" s="26" t="s">
        <v>9</v>
      </c>
      <c r="D10" s="27" t="s">
        <v>15</v>
      </c>
      <c r="E10" s="26" t="s">
        <v>20</v>
      </c>
      <c r="F10" s="27" t="s">
        <v>25</v>
      </c>
      <c r="G10" s="26" t="s">
        <v>30</v>
      </c>
      <c r="H10" s="8"/>
    </row>
    <row r="11" spans="1:8" x14ac:dyDescent="0.25">
      <c r="A11" s="25" t="s">
        <v>829</v>
      </c>
      <c r="B11" s="23" t="s">
        <v>3</v>
      </c>
      <c r="C11" s="21">
        <f>HLOOKUP(C10,seriesH,4,0)</f>
        <v>9.5</v>
      </c>
      <c r="D11" s="21">
        <f>HLOOKUP(D10,seriesH,4,0)</f>
        <v>9.3000000000000007</v>
      </c>
      <c r="E11" s="21">
        <f>HLOOKUP(E10,seriesH,4,0)</f>
        <v>9.1999999999999993</v>
      </c>
      <c r="F11" s="21">
        <f>HLOOKUP(F10,seriesH,4,0)</f>
        <v>8.8000000000000007</v>
      </c>
      <c r="G11" s="21">
        <f>HLOOKUP(G10,seriesH,4,0)</f>
        <v>8.6999999999999993</v>
      </c>
    </row>
    <row r="12" spans="1:8" x14ac:dyDescent="0.25">
      <c r="A12" s="25" t="s">
        <v>830</v>
      </c>
      <c r="B12" s="23" t="s">
        <v>1</v>
      </c>
      <c r="C12" s="21">
        <f>HLOOKUP(C10,seriesH,2,0)</f>
        <v>2008</v>
      </c>
      <c r="D12" s="21">
        <f>HLOOKUP(D10,seriesH,2,0)</f>
        <v>2011</v>
      </c>
      <c r="E12" s="21">
        <f>HLOOKUP(E10,seriesH,2,0)</f>
        <v>2013</v>
      </c>
      <c r="F12" s="21">
        <f>HLOOKUP(F10,seriesH,2,0)</f>
        <v>2016</v>
      </c>
      <c r="G12" s="21">
        <f>HLOOKUP(G10,seriesH,2,0)</f>
        <v>2019</v>
      </c>
    </row>
    <row r="13" spans="1:8" x14ac:dyDescent="0.25">
      <c r="A13" s="25" t="s">
        <v>832</v>
      </c>
      <c r="B13" s="23" t="s">
        <v>2</v>
      </c>
      <c r="C13" s="21" t="str">
        <f>HLOOKUP(C10,seriesH,3,0)</f>
        <v>18+</v>
      </c>
      <c r="D13" s="21" t="str">
        <f>HLOOKUP(D10,seriesH,3,0)</f>
        <v>18+</v>
      </c>
      <c r="E13" s="21" t="str">
        <f>HLOOKUP(E10,seriesH,3,0)</f>
        <v>18+</v>
      </c>
      <c r="F13" s="21" t="str">
        <f>HLOOKUP(F10,seriesH,3,0)</f>
        <v>16+</v>
      </c>
      <c r="G13" s="21" t="str">
        <f>HLOOKUP(G10,seriesH,3,0)</f>
        <v>18+</v>
      </c>
    </row>
    <row r="14" spans="1:8" x14ac:dyDescent="0.25">
      <c r="A14" s="25" t="s">
        <v>833</v>
      </c>
      <c r="B14" s="23" t="s">
        <v>5</v>
      </c>
      <c r="C14" s="21" t="str">
        <f>HLOOKUP(C10,seriesH,6,0)</f>
        <v>Crime,Drama</v>
      </c>
      <c r="D14" s="21" t="str">
        <f>HLOOKUP(D10,seriesH,6,0)</f>
        <v>Action &amp; Adventure,Drama</v>
      </c>
      <c r="E14" s="21" t="str">
        <f>HLOOKUP(E10,seriesH,6,0)</f>
        <v>Animation,Comedy</v>
      </c>
      <c r="F14" s="21" t="str">
        <f>HLOOKUP(F10,seriesH,6,0)</f>
        <v>Drama,Fantasy</v>
      </c>
      <c r="G14" s="21" t="str">
        <f>HLOOKUP(G10,seriesH,6,0)</f>
        <v>Action &amp; Adventure,Comedy</v>
      </c>
    </row>
    <row r="15" spans="1:8" x14ac:dyDescent="0.25">
      <c r="A15" s="25" t="s">
        <v>834</v>
      </c>
      <c r="B15" s="23" t="s">
        <v>8</v>
      </c>
      <c r="C15" s="21" t="str">
        <f>HLOOKUP(C10,seriesH,9,0)</f>
        <v>Netflix</v>
      </c>
      <c r="D15" s="21" t="str">
        <f>HLOOKUP(D10,seriesH,9,0)</f>
        <v>HBO MAX,HBO</v>
      </c>
      <c r="E15" s="21" t="str">
        <f>HLOOKUP(E10,seriesH,9,0)</f>
        <v>Free Services,HBO MAX,Hulu</v>
      </c>
      <c r="F15" s="21" t="str">
        <f>HLOOKUP(F10,seriesH,9,0)</f>
        <v>Netflix</v>
      </c>
      <c r="G15" s="21" t="str">
        <f>HLOOKUP(G10,seriesH,9,0)</f>
        <v>Prime Video</v>
      </c>
    </row>
    <row r="16" spans="1:8" x14ac:dyDescent="0.25">
      <c r="A16" s="25" t="s">
        <v>835</v>
      </c>
      <c r="B16" s="23" t="s">
        <v>831</v>
      </c>
      <c r="C16" s="21" t="str">
        <f>HLOOKUP(C10,seriesH,8,0)</f>
        <v>5Seasons</v>
      </c>
      <c r="D16" s="21" t="str">
        <f>HLOOKUP(D10,seriesH,8,0)</f>
        <v>8Seasons</v>
      </c>
      <c r="E16" s="21" t="str">
        <f>HLOOKUP(E10,seriesH,8,0)</f>
        <v>4Seasons</v>
      </c>
      <c r="F16" s="21" t="str">
        <f>HLOOKUP(F10,seriesH,8,0)</f>
        <v>3Seasons</v>
      </c>
      <c r="G16" s="21" t="str">
        <f>HLOOKUP(G10,seriesH,8,0)</f>
        <v>2Seasons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0B26-3EB2-44EC-B767-F13A2E3DC2C7}">
  <dimension ref="A1:G22"/>
  <sheetViews>
    <sheetView workbookViewId="0">
      <selection activeCell="A15" sqref="A15"/>
    </sheetView>
  </sheetViews>
  <sheetFormatPr defaultRowHeight="15" x14ac:dyDescent="0.25"/>
  <cols>
    <col min="1" max="1" width="87.140625" customWidth="1"/>
    <col min="2" max="2" width="11.85546875" bestFit="1" customWidth="1"/>
    <col min="3" max="3" width="29.85546875" bestFit="1" customWidth="1"/>
    <col min="4" max="4" width="25.28515625" bestFit="1" customWidth="1"/>
    <col min="5" max="5" width="17.7109375" bestFit="1" customWidth="1"/>
    <col min="6" max="7" width="18.42578125" bestFit="1" customWidth="1"/>
  </cols>
  <sheetData>
    <row r="1" spans="1:7" ht="20.25" x14ac:dyDescent="0.25">
      <c r="A1" s="30" t="s">
        <v>795</v>
      </c>
    </row>
    <row r="2" spans="1:7" ht="18.75" x14ac:dyDescent="0.25">
      <c r="A2" s="13" t="s">
        <v>796</v>
      </c>
    </row>
    <row r="3" spans="1:7" ht="18.75" x14ac:dyDescent="0.25">
      <c r="A3" s="13" t="s">
        <v>797</v>
      </c>
    </row>
    <row r="4" spans="1:7" ht="18.75" x14ac:dyDescent="0.25">
      <c r="A4" s="13" t="s">
        <v>798</v>
      </c>
    </row>
    <row r="5" spans="1:7" ht="18.75" x14ac:dyDescent="0.25">
      <c r="A5" s="13" t="s">
        <v>799</v>
      </c>
    </row>
    <row r="6" spans="1:7" ht="18.75" x14ac:dyDescent="0.25">
      <c r="A6" s="13" t="s">
        <v>837</v>
      </c>
    </row>
    <row r="7" spans="1:7" ht="18.75" x14ac:dyDescent="0.25">
      <c r="A7" s="13" t="s">
        <v>838</v>
      </c>
    </row>
    <row r="10" spans="1:7" ht="18.75" x14ac:dyDescent="0.25">
      <c r="A10" s="20" t="s">
        <v>782</v>
      </c>
      <c r="B10" s="24" t="s">
        <v>829</v>
      </c>
      <c r="C10" s="24" t="s">
        <v>830</v>
      </c>
      <c r="D10" s="24" t="s">
        <v>832</v>
      </c>
      <c r="E10" s="24" t="s">
        <v>833</v>
      </c>
      <c r="F10" s="24" t="s">
        <v>834</v>
      </c>
      <c r="G10" s="24" t="s">
        <v>835</v>
      </c>
    </row>
    <row r="11" spans="1:7" x14ac:dyDescent="0.25">
      <c r="A11" s="23" t="s">
        <v>0</v>
      </c>
      <c r="B11" s="23" t="s">
        <v>3</v>
      </c>
      <c r="C11" s="23" t="s">
        <v>8</v>
      </c>
      <c r="D11" s="23" t="s">
        <v>5</v>
      </c>
      <c r="E11" s="23" t="s">
        <v>1</v>
      </c>
      <c r="F11" s="23" t="s">
        <v>7</v>
      </c>
      <c r="G11" s="23" t="s">
        <v>2</v>
      </c>
    </row>
    <row r="12" spans="1:7" x14ac:dyDescent="0.25">
      <c r="A12" s="28" t="s">
        <v>299</v>
      </c>
      <c r="B12" s="29">
        <f>INDEX(series,MATCH($A12,All_Streaming_Shows!$A$2:$A$900,0),MATCH('Index+Match'!B$11,All_Streaming_Shows!$A$1:$I$1,0))</f>
        <v>8.6</v>
      </c>
      <c r="C12" s="29" t="str">
        <f>INDEX(series,MATCH($A12,All_Streaming_Shows!$A$2:$A$900,0),MATCH('Index+Match'!C$11,All_Streaming_Shows!$A$1:$I$1,0))</f>
        <v>Free Services,Hulu,BBC America</v>
      </c>
      <c r="D12" s="29" t="str">
        <f>INDEX(series,MATCH($A12,All_Streaming_Shows!$A$2:$A$900,0),MATCH('Index+Match'!D$11,All_Streaming_Shows!$A$1:$I$1,0))</f>
        <v>Drama,Science-Fiction</v>
      </c>
      <c r="E12" s="29">
        <f>INDEX(series,MATCH($A12,All_Streaming_Shows!$A$2:$A$900,0),MATCH('Index+Match'!E$11,All_Streaming_Shows!$A$1:$I$1,0))</f>
        <v>1993</v>
      </c>
      <c r="F12" s="29" t="str">
        <f>INDEX(series,MATCH($A12,All_Streaming_Shows!$A$2:$A$900,0),MATCH('Index+Match'!F$11,All_Streaming_Shows!$A$1:$I$1,0))</f>
        <v>11Seasons</v>
      </c>
      <c r="G12" s="29" t="str">
        <f>INDEX(series,MATCH($A12,All_Streaming_Shows!$A$2:$A$900,0),MATCH('Index+Match'!G$11,All_Streaming_Shows!$A$1:$I$1,0))</f>
        <v>16+</v>
      </c>
    </row>
    <row r="13" spans="1:7" x14ac:dyDescent="0.25">
      <c r="A13" s="29" t="s">
        <v>301</v>
      </c>
      <c r="B13" s="29">
        <f>INDEX(series,MATCH($A13,All_Streaming_Shows!$A$2:$A$900,0),MATCH('Index+Match'!B$11,All_Streaming_Shows!$A$1:$I$1,0))</f>
        <v>7.7</v>
      </c>
      <c r="C13" s="29" t="str">
        <f>INDEX(series,MATCH($A13,All_Streaming_Shows!$A$2:$A$900,0),MATCH('Index+Match'!C$11,All_Streaming_Shows!$A$1:$I$1,0))</f>
        <v>Free Services,Netflix</v>
      </c>
      <c r="D13" s="29" t="str">
        <f>INDEX(series,MATCH($A13,All_Streaming_Shows!$A$2:$A$900,0),MATCH('Index+Match'!D$11,All_Streaming_Shows!$A$1:$I$1,0))</f>
        <v>Drama,Action &amp; Adventure</v>
      </c>
      <c r="E13" s="29">
        <f>INDEX(series,MATCH($A13,All_Streaming_Shows!$A$2:$A$900,0),MATCH('Index+Match'!E$11,All_Streaming_Shows!$A$1:$I$1,0))</f>
        <v>2014</v>
      </c>
      <c r="F13" s="29" t="str">
        <f>INDEX(series,MATCH($A13,All_Streaming_Shows!$A$2:$A$900,0),MATCH('Index+Match'!F$11,All_Streaming_Shows!$A$1:$I$1,0))</f>
        <v>6Seasons</v>
      </c>
      <c r="G13" s="29" t="str">
        <f>INDEX(series,MATCH($A13,All_Streaming_Shows!$A$2:$A$900,0),MATCH('Index+Match'!G$11,All_Streaming_Shows!$A$1:$I$1,0))</f>
        <v>7+</v>
      </c>
    </row>
    <row r="14" spans="1:7" x14ac:dyDescent="0.25">
      <c r="A14" s="28" t="s">
        <v>303</v>
      </c>
      <c r="B14" s="29">
        <f>INDEX(series,MATCH($A14,All_Streaming_Shows!$A$2:$A$900,0),MATCH('Index+Match'!B$11,All_Streaming_Shows!$A$1:$I$1,0))</f>
        <v>8.6</v>
      </c>
      <c r="C14" s="29" t="str">
        <f>INDEX(series,MATCH($A14,All_Streaming_Shows!$A$2:$A$900,0),MATCH('Index+Match'!C$11,All_Streaming_Shows!$A$1:$I$1,0))</f>
        <v>Hulu</v>
      </c>
      <c r="D14" s="29" t="str">
        <f>INDEX(series,MATCH($A14,All_Streaming_Shows!$A$2:$A$900,0),MATCH('Index+Match'!D$11,All_Streaming_Shows!$A$1:$I$1,0))</f>
        <v>Action &amp; Adventure,Crime</v>
      </c>
      <c r="E14" s="29">
        <f>INDEX(series,MATCH($A14,All_Streaming_Shows!$A$2:$A$900,0),MATCH('Index+Match'!E$11,All_Streaming_Shows!$A$1:$I$1,0))</f>
        <v>2010</v>
      </c>
      <c r="F14" s="29" t="str">
        <f>INDEX(series,MATCH($A14,All_Streaming_Shows!$A$2:$A$900,0),MATCH('Index+Match'!F$11,All_Streaming_Shows!$A$1:$I$1,0))</f>
        <v>6 Seasons</v>
      </c>
      <c r="G14" s="29" t="str">
        <f>INDEX(series,MATCH($A14,All_Streaming_Shows!$A$2:$A$900,0),MATCH('Index+Match'!G$11,All_Streaming_Shows!$A$1:$I$1,0))</f>
        <v>18+</v>
      </c>
    </row>
    <row r="15" spans="1:7" x14ac:dyDescent="0.25">
      <c r="A15" s="29" t="s">
        <v>306</v>
      </c>
      <c r="B15" s="29">
        <f>INDEX(series,MATCH($A15,All_Streaming_Shows!$A$2:$A$900,0),MATCH('Index+Match'!B$11,All_Streaming_Shows!$A$1:$I$1,0))</f>
        <v>8.4</v>
      </c>
      <c r="C15" s="29" t="str">
        <f>INDEX(series,MATCH($A15,All_Streaming_Shows!$A$2:$A$900,0),MATCH('Index+Match'!C$11,All_Streaming_Shows!$A$1:$I$1,0))</f>
        <v>Prime Video</v>
      </c>
      <c r="D15" s="29" t="str">
        <f>INDEX(series,MATCH($A15,All_Streaming_Shows!$A$2:$A$900,0),MATCH('Index+Match'!D$11,All_Streaming_Shows!$A$1:$I$1,0))</f>
        <v>Drama,Crime</v>
      </c>
      <c r="E15" s="29">
        <f>INDEX(series,MATCH($A15,All_Streaming_Shows!$A$2:$A$900,0),MATCH('Index+Match'!E$11,All_Streaming_Shows!$A$1:$I$1,0))</f>
        <v>2013</v>
      </c>
      <c r="F15" s="29" t="str">
        <f>INDEX(series,MATCH($A15,All_Streaming_Shows!$A$2:$A$900,0),MATCH('Index+Match'!F$11,All_Streaming_Shows!$A$1:$I$1,0))</f>
        <v>6Seasons</v>
      </c>
      <c r="G15" s="29" t="str">
        <f>INDEX(series,MATCH($A15,All_Streaming_Shows!$A$2:$A$900,0),MATCH('Index+Match'!G$11,All_Streaming_Shows!$A$1:$I$1,0))</f>
        <v>18+</v>
      </c>
    </row>
    <row r="16" spans="1:7" x14ac:dyDescent="0.25">
      <c r="A16" s="28" t="s">
        <v>309</v>
      </c>
      <c r="B16" s="29">
        <f>INDEX(series,MATCH($A16,All_Streaming_Shows!$A$2:$A$900,0),MATCH('Index+Match'!B$11,All_Streaming_Shows!$A$1:$I$1,0))</f>
        <v>8.6999999999999993</v>
      </c>
      <c r="C16" s="29" t="str">
        <f>INDEX(series,MATCH($A16,All_Streaming_Shows!$A$2:$A$900,0),MATCH('Index+Match'!C$11,All_Streaming_Shows!$A$1:$I$1,0))</f>
        <v>Free Services,Hulu,NBC</v>
      </c>
      <c r="D16" s="29" t="str">
        <f>INDEX(series,MATCH($A16,All_Streaming_Shows!$A$2:$A$900,0),MATCH('Index+Match'!D$11,All_Streaming_Shows!$A$1:$I$1,0))</f>
        <v>Drama,Comedy</v>
      </c>
      <c r="E16" s="29">
        <f>INDEX(series,MATCH($A16,All_Streaming_Shows!$A$2:$A$900,0),MATCH('Index+Match'!E$11,All_Streaming_Shows!$A$1:$I$1,0))</f>
        <v>2016</v>
      </c>
      <c r="F16" s="29" t="str">
        <f>INDEX(series,MATCH($A16,All_Streaming_Shows!$A$2:$A$900,0),MATCH('Index+Match'!F$11,All_Streaming_Shows!$A$1:$I$1,0))</f>
        <v>4 Seasons</v>
      </c>
      <c r="G16" s="29" t="str">
        <f>INDEX(series,MATCH($A16,All_Streaming_Shows!$A$2:$A$900,0),MATCH('Index+Match'!G$11,All_Streaming_Shows!$A$1:$I$1,0))</f>
        <v>16+</v>
      </c>
    </row>
    <row r="17" spans="1:7" x14ac:dyDescent="0.25">
      <c r="A17" s="29" t="s">
        <v>312</v>
      </c>
      <c r="B17" s="29">
        <f>INDEX(series,MATCH($A17,All_Streaming_Shows!$A$2:$A$900,0),MATCH('Index+Match'!B$11,All_Streaming_Shows!$A$1:$I$1,0))</f>
        <v>8.6</v>
      </c>
      <c r="C17" s="29" t="str">
        <f>INDEX(series,MATCH($A17,All_Streaming_Shows!$A$2:$A$900,0),MATCH('Index+Match'!C$11,All_Streaming_Shows!$A$1:$I$1,0))</f>
        <v>Free Services,HBO MAX,Hulu</v>
      </c>
      <c r="D17" s="29" t="str">
        <f>INDEX(series,MATCH($A17,All_Streaming_Shows!$A$2:$A$900,0),MATCH('Index+Match'!D$11,All_Streaming_Shows!$A$1:$I$1,0))</f>
        <v>Action &amp; Adventure,Fantasy</v>
      </c>
      <c r="E17" s="29">
        <f>INDEX(series,MATCH($A17,All_Streaming_Shows!$A$2:$A$900,0),MATCH('Index+Match'!E$11,All_Streaming_Shows!$A$1:$I$1,0))</f>
        <v>2010</v>
      </c>
      <c r="F17" s="29" t="str">
        <f>INDEX(series,MATCH($A17,All_Streaming_Shows!$A$2:$A$900,0),MATCH('Index+Match'!F$11,All_Streaming_Shows!$A$1:$I$1,0))</f>
        <v>11Seasons</v>
      </c>
      <c r="G17" s="29" t="str">
        <f>INDEX(series,MATCH($A17,All_Streaming_Shows!$A$2:$A$900,0),MATCH('Index+Match'!G$11,All_Streaming_Shows!$A$1:$I$1,0))</f>
        <v>7+</v>
      </c>
    </row>
    <row r="18" spans="1:7" x14ac:dyDescent="0.25">
      <c r="A18" s="28" t="s">
        <v>314</v>
      </c>
      <c r="B18" s="29">
        <f>INDEX(series,MATCH($A18,All_Streaming_Shows!$A$2:$A$900,0),MATCH('Index+Match'!B$11,All_Streaming_Shows!$A$1:$I$1,0))</f>
        <v>8.6999999999999993</v>
      </c>
      <c r="C18" s="29" t="str">
        <f>INDEX(series,MATCH($A18,All_Streaming_Shows!$A$2:$A$900,0),MATCH('Index+Match'!C$11,All_Streaming_Shows!$A$1:$I$1,0))</f>
        <v>Netflix</v>
      </c>
      <c r="D18" s="29" t="str">
        <f>INDEX(series,MATCH($A18,All_Streaming_Shows!$A$2:$A$900,0),MATCH('Index+Match'!D$11,All_Streaming_Shows!$A$1:$I$1,0))</f>
        <v>Animation,Comedy</v>
      </c>
      <c r="E18" s="29">
        <f>INDEX(series,MATCH($A18,All_Streaming_Shows!$A$2:$A$900,0),MATCH('Index+Match'!E$11,All_Streaming_Shows!$A$1:$I$1,0))</f>
        <v>2014</v>
      </c>
      <c r="F18" s="29" t="str">
        <f>INDEX(series,MATCH($A18,All_Streaming_Shows!$A$2:$A$900,0),MATCH('Index+Match'!F$11,All_Streaming_Shows!$A$1:$I$1,0))</f>
        <v>6Seasons</v>
      </c>
      <c r="G18" s="29" t="str">
        <f>INDEX(series,MATCH($A18,All_Streaming_Shows!$A$2:$A$900,0),MATCH('Index+Match'!G$11,All_Streaming_Shows!$A$1:$I$1,0))</f>
        <v>18+</v>
      </c>
    </row>
    <row r="19" spans="1:7" x14ac:dyDescent="0.25">
      <c r="A19" s="29" t="s">
        <v>316</v>
      </c>
      <c r="B19" s="29">
        <f>INDEX(series,MATCH($A19,All_Streaming_Shows!$A$2:$A$900,0),MATCH('Index+Match'!B$11,All_Streaming_Shows!$A$1:$I$1,0))</f>
        <v>8.6999999999999993</v>
      </c>
      <c r="C19" s="29" t="str">
        <f>INDEX(series,MATCH($A19,All_Streaming_Shows!$A$2:$A$900,0),MATCH('Index+Match'!C$11,All_Streaming_Shows!$A$1:$I$1,0))</f>
        <v>Prime Video</v>
      </c>
      <c r="D19" s="29" t="str">
        <f>INDEX(series,MATCH($A19,All_Streaming_Shows!$A$2:$A$900,0),MATCH('Index+Match'!D$11,All_Streaming_Shows!$A$1:$I$1,0))</f>
        <v>Comedy,Stand-up &amp; Talk</v>
      </c>
      <c r="E19" s="29">
        <f>INDEX(series,MATCH($A19,All_Streaming_Shows!$A$2:$A$900,0),MATCH('Index+Match'!E$11,All_Streaming_Shows!$A$1:$I$1,0))</f>
        <v>2017</v>
      </c>
      <c r="F19" s="29" t="str">
        <f>INDEX(series,MATCH($A19,All_Streaming_Shows!$A$2:$A$900,0),MATCH('Index+Match'!F$11,All_Streaming_Shows!$A$1:$I$1,0))</f>
        <v>3Seasons</v>
      </c>
      <c r="G19" s="29" t="str">
        <f>INDEX(series,MATCH($A19,All_Streaming_Shows!$A$2:$A$900,0),MATCH('Index+Match'!G$11,All_Streaming_Shows!$A$1:$I$1,0))</f>
        <v>18+</v>
      </c>
    </row>
    <row r="20" spans="1:7" x14ac:dyDescent="0.25">
      <c r="A20" s="28" t="s">
        <v>318</v>
      </c>
      <c r="B20" s="29">
        <f>INDEX(series,MATCH($A20,All_Streaming_Shows!$A$2:$A$900,0),MATCH('Index+Match'!B$11,All_Streaming_Shows!$A$1:$I$1,0))</f>
        <v>8.1</v>
      </c>
      <c r="C20" s="29" t="str">
        <f>INDEX(series,MATCH($A20,All_Streaming_Shows!$A$2:$A$900,0),MATCH('Index+Match'!C$11,All_Streaming_Shows!$A$1:$I$1,0))</f>
        <v>Netflix</v>
      </c>
      <c r="D20" s="29" t="str">
        <f>INDEX(series,MATCH($A20,All_Streaming_Shows!$A$2:$A$900,0),MATCH('Index+Match'!D$11,All_Streaming_Shows!$A$1:$I$1,0))</f>
        <v>Action &amp; Adventure,Comedy</v>
      </c>
      <c r="E20" s="29">
        <f>INDEX(series,MATCH($A20,All_Streaming_Shows!$A$2:$A$900,0),MATCH('Index+Match'!E$11,All_Streaming_Shows!$A$1:$I$1,0))</f>
        <v>2017</v>
      </c>
      <c r="F20" s="29" t="str">
        <f>INDEX(series,MATCH($A20,All_Streaming_Shows!$A$2:$A$900,0),MATCH('Index+Match'!F$11,All_Streaming_Shows!$A$1:$I$1,0))</f>
        <v>2 Seasons</v>
      </c>
      <c r="G20" s="29" t="str">
        <f>INDEX(series,MATCH($A20,All_Streaming_Shows!$A$2:$A$900,0),MATCH('Index+Match'!G$11,All_Streaming_Shows!$A$1:$I$1,0))</f>
        <v>18+</v>
      </c>
    </row>
    <row r="21" spans="1:7" x14ac:dyDescent="0.25">
      <c r="A21" s="29" t="s">
        <v>320</v>
      </c>
      <c r="B21" s="29">
        <f>INDEX(series,MATCH($A21,All_Streaming_Shows!$A$2:$A$900,0),MATCH('Index+Match'!B$11,All_Streaming_Shows!$A$1:$I$1,0))</f>
        <v>8.5</v>
      </c>
      <c r="C21" s="29" t="str">
        <f>INDEX(series,MATCH($A21,All_Streaming_Shows!$A$2:$A$900,0),MATCH('Index+Match'!C$11,All_Streaming_Shows!$A$1:$I$1,0))</f>
        <v>HBO MAX,HBO</v>
      </c>
      <c r="D21" s="29" t="str">
        <f>INDEX(series,MATCH($A21,All_Streaming_Shows!$A$2:$A$900,0),MATCH('Index+Match'!D$11,All_Streaming_Shows!$A$1:$I$1,0))</f>
        <v>Crime,Drama</v>
      </c>
      <c r="E21" s="29">
        <f>INDEX(series,MATCH($A21,All_Streaming_Shows!$A$2:$A$900,0),MATCH('Index+Match'!E$11,All_Streaming_Shows!$A$1:$I$1,0))</f>
        <v>2017</v>
      </c>
      <c r="F21" s="29" t="str">
        <f>INDEX(series,MATCH($A21,All_Streaming_Shows!$A$2:$A$900,0),MATCH('Index+Match'!F$11,All_Streaming_Shows!$A$1:$I$1,0))</f>
        <v>2Seasons</v>
      </c>
      <c r="G21" s="29" t="str">
        <f>INDEX(series,MATCH($A21,All_Streaming_Shows!$A$2:$A$900,0),MATCH('Index+Match'!G$11,All_Streaming_Shows!$A$1:$I$1,0))</f>
        <v>18+</v>
      </c>
    </row>
    <row r="22" spans="1:7" x14ac:dyDescent="0.25">
      <c r="A22" s="28" t="s">
        <v>323</v>
      </c>
      <c r="B22" s="29">
        <f>INDEX(series,MATCH($A22,All_Streaming_Shows!$A$2:$A$900,0),MATCH('Index+Match'!B$11,All_Streaming_Shows!$A$1:$I$1,0))</f>
        <v>8.5</v>
      </c>
      <c r="C22" s="29" t="str">
        <f>INDEX(series,MATCH($A22,All_Streaming_Shows!$A$2:$A$900,0),MATCH('Index+Match'!C$11,All_Streaming_Shows!$A$1:$I$1,0))</f>
        <v>HBO MAX,Prime Video,Starz</v>
      </c>
      <c r="D22" s="29" t="str">
        <f>INDEX(series,MATCH($A22,All_Streaming_Shows!$A$2:$A$900,0),MATCH('Index+Match'!D$11,All_Streaming_Shows!$A$1:$I$1,0))</f>
        <v>Crime,Drama</v>
      </c>
      <c r="E22" s="29">
        <f>INDEX(series,MATCH($A22,All_Streaming_Shows!$A$2:$A$900,0),MATCH('Index+Match'!E$11,All_Streaming_Shows!$A$1:$I$1,0))</f>
        <v>2010</v>
      </c>
      <c r="F22" s="29" t="str">
        <f>INDEX(series,MATCH($A22,All_Streaming_Shows!$A$2:$A$900,0),MATCH('Index+Match'!F$11,All_Streaming_Shows!$A$1:$I$1,0))</f>
        <v>5Seasons</v>
      </c>
      <c r="G22" s="29" t="str">
        <f>INDEX(series,MATCH($A22,All_Streaming_Shows!$A$2:$A$900,0),MATCH('Index+Match'!G$11,All_Streaming_Shows!$A$1:$I$1,0))</f>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0E3FD-A726-4640-B0D3-73FCA0D7715C}">
  <dimension ref="A1:K124"/>
  <sheetViews>
    <sheetView zoomScale="80" zoomScaleNormal="80" workbookViewId="0">
      <selection activeCell="A15" sqref="A15"/>
    </sheetView>
  </sheetViews>
  <sheetFormatPr defaultRowHeight="15" x14ac:dyDescent="0.25"/>
  <cols>
    <col min="1" max="1" width="62.7109375" customWidth="1"/>
    <col min="2" max="2" width="11.85546875" bestFit="1" customWidth="1"/>
    <col min="3" max="3" width="2.42578125" customWidth="1"/>
    <col min="4" max="4" width="31.7109375" bestFit="1" customWidth="1"/>
    <col min="5" max="5" width="13.7109375" bestFit="1" customWidth="1"/>
    <col min="6" max="6" width="2.5703125" customWidth="1"/>
    <col min="7" max="7" width="30.5703125" bestFit="1" customWidth="1"/>
    <col min="8" max="8" width="15.42578125" customWidth="1"/>
    <col min="9" max="9" width="2" customWidth="1"/>
    <col min="10" max="10" width="31.7109375" bestFit="1" customWidth="1"/>
    <col min="11" max="11" width="13.7109375" bestFit="1" customWidth="1"/>
  </cols>
  <sheetData>
    <row r="1" spans="1:11" ht="20.25" x14ac:dyDescent="0.25">
      <c r="A1" s="30" t="s">
        <v>800</v>
      </c>
    </row>
    <row r="2" spans="1:11" ht="18.75" x14ac:dyDescent="0.25">
      <c r="A2" s="13" t="s">
        <v>801</v>
      </c>
    </row>
    <row r="3" spans="1:11" ht="18.75" x14ac:dyDescent="0.25">
      <c r="A3" s="13" t="s">
        <v>802</v>
      </c>
    </row>
    <row r="4" spans="1:11" ht="18.75" x14ac:dyDescent="0.25">
      <c r="A4" s="13" t="s">
        <v>803</v>
      </c>
    </row>
    <row r="5" spans="1:11" ht="18.75" x14ac:dyDescent="0.25">
      <c r="A5" s="13" t="s">
        <v>804</v>
      </c>
    </row>
    <row r="6" spans="1:11" ht="18.75" x14ac:dyDescent="0.25">
      <c r="A6" s="13" t="s">
        <v>805</v>
      </c>
    </row>
    <row r="7" spans="1:11" ht="18.75" x14ac:dyDescent="0.25">
      <c r="A7" s="13" t="s">
        <v>806</v>
      </c>
    </row>
    <row r="12" spans="1:11" ht="18.75" x14ac:dyDescent="0.25">
      <c r="A12" s="44" t="s">
        <v>829</v>
      </c>
      <c r="B12" s="45"/>
      <c r="D12" s="44" t="s">
        <v>830</v>
      </c>
      <c r="E12" s="45"/>
      <c r="G12" s="44" t="s">
        <v>832</v>
      </c>
      <c r="H12" s="45"/>
      <c r="J12" s="44" t="s">
        <v>833</v>
      </c>
      <c r="K12" s="45"/>
    </row>
    <row r="13" spans="1:11" x14ac:dyDescent="0.25">
      <c r="A13" s="1" t="s">
        <v>0</v>
      </c>
      <c r="B13" s="2" t="s">
        <v>3</v>
      </c>
      <c r="D13" s="1" t="s">
        <v>0</v>
      </c>
      <c r="E13" s="2" t="s">
        <v>1</v>
      </c>
      <c r="G13" s="1" t="s">
        <v>0</v>
      </c>
      <c r="H13" s="2" t="s">
        <v>3</v>
      </c>
      <c r="J13" s="1" t="s">
        <v>0</v>
      </c>
      <c r="K13" s="2" t="s">
        <v>7</v>
      </c>
    </row>
    <row r="14" spans="1:11" x14ac:dyDescent="0.25">
      <c r="A14" s="4" t="s">
        <v>9</v>
      </c>
      <c r="B14" s="5">
        <v>9.5</v>
      </c>
      <c r="D14" s="4" t="s">
        <v>75</v>
      </c>
      <c r="E14" s="5">
        <v>2011</v>
      </c>
      <c r="G14" s="4" t="s">
        <v>9</v>
      </c>
      <c r="H14" s="5">
        <v>9.5</v>
      </c>
      <c r="J14" s="4" t="s">
        <v>75</v>
      </c>
      <c r="K14" s="5" t="s">
        <v>13</v>
      </c>
    </row>
    <row r="15" spans="1:11" x14ac:dyDescent="0.25">
      <c r="A15" s="7" t="s">
        <v>15</v>
      </c>
      <c r="B15" s="8">
        <v>9.3000000000000007</v>
      </c>
      <c r="D15" s="7" t="s">
        <v>78</v>
      </c>
      <c r="E15" s="8">
        <v>2001</v>
      </c>
      <c r="G15" s="7" t="s">
        <v>15</v>
      </c>
      <c r="H15" s="8">
        <v>9.3000000000000007</v>
      </c>
      <c r="J15" s="7" t="s">
        <v>78</v>
      </c>
      <c r="K15" s="8" t="s">
        <v>18</v>
      </c>
    </row>
    <row r="16" spans="1:11" x14ac:dyDescent="0.25">
      <c r="A16" s="4" t="s">
        <v>20</v>
      </c>
      <c r="B16" s="5">
        <v>9.1999999999999993</v>
      </c>
      <c r="D16" s="4" t="s">
        <v>81</v>
      </c>
      <c r="E16" s="5">
        <v>2004</v>
      </c>
      <c r="G16" s="4" t="s">
        <v>20</v>
      </c>
      <c r="H16" s="5">
        <v>9.1999999999999993</v>
      </c>
      <c r="J16" s="4" t="s">
        <v>81</v>
      </c>
      <c r="K16" s="5" t="s">
        <v>23</v>
      </c>
    </row>
    <row r="17" spans="1:11" x14ac:dyDescent="0.25">
      <c r="A17" s="7" t="s">
        <v>25</v>
      </c>
      <c r="B17" s="8">
        <v>8.8000000000000007</v>
      </c>
      <c r="D17" s="7" t="s">
        <v>85</v>
      </c>
      <c r="E17" s="8">
        <v>2016</v>
      </c>
      <c r="G17" s="7" t="s">
        <v>25</v>
      </c>
      <c r="H17" s="8">
        <v>8.8000000000000007</v>
      </c>
      <c r="J17" s="7" t="s">
        <v>85</v>
      </c>
      <c r="K17" s="8" t="s">
        <v>29</v>
      </c>
    </row>
    <row r="18" spans="1:11" x14ac:dyDescent="0.25">
      <c r="A18" s="4" t="s">
        <v>30</v>
      </c>
      <c r="B18" s="5">
        <v>8.6999999999999993</v>
      </c>
      <c r="D18" s="4" t="s">
        <v>88</v>
      </c>
      <c r="E18" s="5">
        <v>2017</v>
      </c>
      <c r="G18" s="4" t="s">
        <v>30</v>
      </c>
      <c r="H18" s="5">
        <v>8.6999999999999993</v>
      </c>
      <c r="J18" s="4" t="s">
        <v>88</v>
      </c>
      <c r="K18" s="5" t="s">
        <v>33</v>
      </c>
    </row>
    <row r="19" spans="1:11" x14ac:dyDescent="0.25">
      <c r="A19" s="7" t="s">
        <v>35</v>
      </c>
      <c r="B19" s="8">
        <v>8.8000000000000007</v>
      </c>
      <c r="D19" s="7" t="s">
        <v>91</v>
      </c>
      <c r="E19" s="8">
        <v>2015</v>
      </c>
      <c r="G19" s="7" t="s">
        <v>35</v>
      </c>
      <c r="H19" s="8">
        <v>8.8000000000000007</v>
      </c>
      <c r="J19" s="7" t="s">
        <v>91</v>
      </c>
      <c r="K19" s="8" t="s">
        <v>29</v>
      </c>
    </row>
    <row r="20" spans="1:11" x14ac:dyDescent="0.25">
      <c r="A20" s="4" t="s">
        <v>37</v>
      </c>
      <c r="B20" s="5">
        <v>9.4</v>
      </c>
      <c r="D20" s="4" t="s">
        <v>95</v>
      </c>
      <c r="E20" s="5">
        <v>2013</v>
      </c>
      <c r="G20" s="4" t="s">
        <v>37</v>
      </c>
      <c r="H20" s="5">
        <v>9.4</v>
      </c>
      <c r="J20" s="4" t="s">
        <v>95</v>
      </c>
      <c r="K20" s="5" t="s">
        <v>40</v>
      </c>
    </row>
    <row r="21" spans="1:11" x14ac:dyDescent="0.25">
      <c r="A21" s="7" t="s">
        <v>41</v>
      </c>
      <c r="B21" s="8">
        <v>9.1</v>
      </c>
      <c r="D21" s="7" t="s">
        <v>98</v>
      </c>
      <c r="E21" s="8">
        <v>2018</v>
      </c>
      <c r="G21" s="7" t="s">
        <v>41</v>
      </c>
      <c r="H21" s="8">
        <v>9.1</v>
      </c>
      <c r="J21" s="7" t="s">
        <v>98</v>
      </c>
      <c r="K21" s="8" t="s">
        <v>23</v>
      </c>
    </row>
    <row r="22" spans="1:11" x14ac:dyDescent="0.25">
      <c r="A22" s="4" t="s">
        <v>44</v>
      </c>
      <c r="B22" s="5">
        <v>8.9</v>
      </c>
      <c r="D22" s="4" t="s">
        <v>101</v>
      </c>
      <c r="E22" s="5">
        <v>1989</v>
      </c>
      <c r="G22" s="4" t="s">
        <v>44</v>
      </c>
      <c r="H22" s="5">
        <v>8.9</v>
      </c>
      <c r="J22" s="4" t="s">
        <v>101</v>
      </c>
      <c r="K22" s="5" t="s">
        <v>29</v>
      </c>
    </row>
    <row r="23" spans="1:11" x14ac:dyDescent="0.25">
      <c r="A23" s="7" t="s">
        <v>47</v>
      </c>
      <c r="B23" s="8">
        <v>9.1999999999999993</v>
      </c>
      <c r="D23" s="7" t="s">
        <v>105</v>
      </c>
      <c r="E23" s="8">
        <v>2019</v>
      </c>
      <c r="G23" s="7" t="s">
        <v>47</v>
      </c>
      <c r="H23" s="8">
        <v>9.1999999999999993</v>
      </c>
      <c r="J23" s="7" t="s">
        <v>105</v>
      </c>
      <c r="K23" s="8" t="s">
        <v>29</v>
      </c>
    </row>
    <row r="24" spans="1:11" x14ac:dyDescent="0.25">
      <c r="A24" s="4" t="s">
        <v>52</v>
      </c>
      <c r="B24" s="5">
        <v>8.9</v>
      </c>
      <c r="D24" s="4" t="s">
        <v>109</v>
      </c>
      <c r="E24" s="5">
        <v>1999</v>
      </c>
      <c r="G24" s="4" t="s">
        <v>52</v>
      </c>
      <c r="H24" s="5">
        <v>8.9</v>
      </c>
      <c r="J24" s="4" t="s">
        <v>109</v>
      </c>
      <c r="K24" s="5" t="s">
        <v>55</v>
      </c>
    </row>
    <row r="25" spans="1:11" x14ac:dyDescent="0.25">
      <c r="A25" s="7" t="s">
        <v>57</v>
      </c>
      <c r="B25" s="8">
        <v>8.9</v>
      </c>
      <c r="D25" s="7" t="s">
        <v>112</v>
      </c>
      <c r="E25" s="8">
        <v>2019</v>
      </c>
      <c r="G25" s="7" t="s">
        <v>57</v>
      </c>
      <c r="H25" s="8">
        <v>8.9</v>
      </c>
      <c r="J25" s="7" t="s">
        <v>112</v>
      </c>
      <c r="K25" s="8" t="s">
        <v>60</v>
      </c>
    </row>
    <row r="26" spans="1:11" x14ac:dyDescent="0.25">
      <c r="A26" s="4" t="s">
        <v>62</v>
      </c>
      <c r="B26" s="5">
        <v>8.4</v>
      </c>
      <c r="D26" s="4" t="s">
        <v>114</v>
      </c>
      <c r="E26" s="5">
        <v>2013</v>
      </c>
      <c r="G26" s="4" t="s">
        <v>62</v>
      </c>
      <c r="H26" s="5">
        <v>8.4</v>
      </c>
      <c r="J26" s="4" t="s">
        <v>114</v>
      </c>
      <c r="K26" s="5" t="s">
        <v>64</v>
      </c>
    </row>
    <row r="27" spans="1:11" x14ac:dyDescent="0.25">
      <c r="A27" s="7" t="s">
        <v>66</v>
      </c>
      <c r="B27" s="8">
        <v>9.3000000000000007</v>
      </c>
      <c r="D27" s="7" t="s">
        <v>117</v>
      </c>
      <c r="E27" s="8">
        <v>2010</v>
      </c>
      <c r="G27" s="7" t="s">
        <v>66</v>
      </c>
      <c r="H27" s="8">
        <v>9.3000000000000007</v>
      </c>
      <c r="J27" s="7" t="s">
        <v>117</v>
      </c>
      <c r="K27" s="8" t="s">
        <v>13</v>
      </c>
    </row>
    <row r="28" spans="1:11" x14ac:dyDescent="0.25">
      <c r="A28" s="4" t="s">
        <v>68</v>
      </c>
      <c r="B28" s="5">
        <v>8.6999999999999993</v>
      </c>
      <c r="D28" s="4" t="s">
        <v>121</v>
      </c>
      <c r="E28" s="5">
        <v>2004</v>
      </c>
      <c r="G28" s="4" t="s">
        <v>68</v>
      </c>
      <c r="H28" s="5">
        <v>8.6999999999999993</v>
      </c>
      <c r="J28" s="4" t="s">
        <v>121</v>
      </c>
      <c r="K28" s="5" t="s">
        <v>13</v>
      </c>
    </row>
    <row r="29" spans="1:11" x14ac:dyDescent="0.25">
      <c r="A29" s="7" t="s">
        <v>71</v>
      </c>
      <c r="B29" s="8">
        <v>8.8000000000000007</v>
      </c>
      <c r="D29" s="7" t="s">
        <v>125</v>
      </c>
      <c r="E29" s="8">
        <v>2013</v>
      </c>
      <c r="G29" s="7" t="s">
        <v>71</v>
      </c>
      <c r="H29" s="8">
        <v>8.8000000000000007</v>
      </c>
      <c r="J29" s="7" t="s">
        <v>125</v>
      </c>
      <c r="K29" s="8" t="s">
        <v>29</v>
      </c>
    </row>
    <row r="30" spans="1:11" x14ac:dyDescent="0.25">
      <c r="A30" s="4" t="s">
        <v>75</v>
      </c>
      <c r="B30" s="5">
        <v>8.8000000000000007</v>
      </c>
      <c r="D30" s="4" t="s">
        <v>129</v>
      </c>
      <c r="E30" s="5">
        <v>2019</v>
      </c>
      <c r="G30" s="4" t="s">
        <v>75</v>
      </c>
      <c r="H30" s="5">
        <v>8.8000000000000007</v>
      </c>
      <c r="J30" s="4" t="s">
        <v>129</v>
      </c>
      <c r="K30" s="5" t="s">
        <v>13</v>
      </c>
    </row>
    <row r="31" spans="1:11" x14ac:dyDescent="0.25">
      <c r="A31" s="7" t="s">
        <v>78</v>
      </c>
      <c r="B31" s="8">
        <v>9.4</v>
      </c>
      <c r="D31" s="7" t="s">
        <v>132</v>
      </c>
      <c r="E31" s="8">
        <v>2017</v>
      </c>
      <c r="G31" s="7" t="s">
        <v>78</v>
      </c>
      <c r="H31" s="8">
        <v>9.4</v>
      </c>
      <c r="J31" s="7" t="s">
        <v>132</v>
      </c>
      <c r="K31" s="8" t="s">
        <v>80</v>
      </c>
    </row>
    <row r="32" spans="1:11" x14ac:dyDescent="0.25">
      <c r="A32" s="4" t="s">
        <v>81</v>
      </c>
      <c r="B32" s="5">
        <v>8.6999999999999993</v>
      </c>
      <c r="D32" s="4" t="s">
        <v>134</v>
      </c>
      <c r="E32" s="5">
        <v>2006</v>
      </c>
      <c r="G32" s="4" t="s">
        <v>81</v>
      </c>
      <c r="H32" s="5">
        <v>8.6999999999999993</v>
      </c>
      <c r="J32" s="4" t="s">
        <v>134</v>
      </c>
      <c r="K32" s="5" t="s">
        <v>18</v>
      </c>
    </row>
    <row r="33" spans="1:11" x14ac:dyDescent="0.25">
      <c r="A33" s="7" t="s">
        <v>85</v>
      </c>
      <c r="B33" s="8">
        <v>8.1999999999999993</v>
      </c>
      <c r="D33" s="7" t="s">
        <v>137</v>
      </c>
      <c r="E33" s="8">
        <v>2015</v>
      </c>
      <c r="G33" s="7" t="s">
        <v>85</v>
      </c>
      <c r="H33" s="8">
        <v>8.1999999999999993</v>
      </c>
      <c r="J33" s="7" t="s">
        <v>137</v>
      </c>
      <c r="K33" s="8" t="s">
        <v>13</v>
      </c>
    </row>
    <row r="34" spans="1:11" x14ac:dyDescent="0.25">
      <c r="A34" s="4" t="s">
        <v>88</v>
      </c>
      <c r="B34" s="5">
        <v>8.4</v>
      </c>
      <c r="D34" s="4" t="s">
        <v>139</v>
      </c>
      <c r="E34" s="5">
        <v>2016</v>
      </c>
      <c r="G34" s="4" t="s">
        <v>88</v>
      </c>
      <c r="H34" s="5">
        <v>8.4</v>
      </c>
      <c r="J34" s="4" t="s">
        <v>139</v>
      </c>
      <c r="K34" s="5" t="s">
        <v>33</v>
      </c>
    </row>
    <row r="35" spans="1:11" x14ac:dyDescent="0.25">
      <c r="A35" s="7" t="s">
        <v>91</v>
      </c>
      <c r="B35" s="8">
        <v>8.5</v>
      </c>
      <c r="D35" s="7" t="s">
        <v>141</v>
      </c>
      <c r="E35" s="8">
        <v>2014</v>
      </c>
      <c r="G35" s="7" t="s">
        <v>91</v>
      </c>
      <c r="H35" s="8">
        <v>8.5</v>
      </c>
      <c r="J35" s="7" t="s">
        <v>141</v>
      </c>
      <c r="K35" s="8" t="s">
        <v>23</v>
      </c>
    </row>
    <row r="36" spans="1:11" x14ac:dyDescent="0.25">
      <c r="A36" s="4" t="s">
        <v>95</v>
      </c>
      <c r="B36" s="5">
        <v>8.8000000000000007</v>
      </c>
      <c r="D36" s="4" t="s">
        <v>143</v>
      </c>
      <c r="E36" s="5">
        <v>1997</v>
      </c>
      <c r="G36" s="4" t="s">
        <v>95</v>
      </c>
      <c r="H36" s="5">
        <v>8.8000000000000007</v>
      </c>
      <c r="J36" s="4" t="s">
        <v>143</v>
      </c>
      <c r="K36" s="5" t="s">
        <v>97</v>
      </c>
    </row>
    <row r="37" spans="1:11" x14ac:dyDescent="0.25">
      <c r="A37" s="7" t="s">
        <v>98</v>
      </c>
      <c r="B37" s="8">
        <v>8.8000000000000007</v>
      </c>
      <c r="D37" s="7" t="s">
        <v>146</v>
      </c>
      <c r="E37" s="8">
        <v>2009</v>
      </c>
      <c r="G37" s="7" t="s">
        <v>98</v>
      </c>
      <c r="H37" s="8">
        <v>8.8000000000000007</v>
      </c>
      <c r="J37" s="7" t="s">
        <v>146</v>
      </c>
      <c r="K37" s="8" t="s">
        <v>33</v>
      </c>
    </row>
    <row r="38" spans="1:11" x14ac:dyDescent="0.25">
      <c r="A38" s="4" t="s">
        <v>101</v>
      </c>
      <c r="B38" s="5">
        <v>8.6999999999999993</v>
      </c>
      <c r="D38" s="4" t="s">
        <v>151</v>
      </c>
      <c r="E38" s="5">
        <v>2007</v>
      </c>
      <c r="G38" s="4" t="s">
        <v>101</v>
      </c>
      <c r="H38" s="5">
        <v>8.6999999999999993</v>
      </c>
      <c r="J38" s="4" t="s">
        <v>151</v>
      </c>
      <c r="K38" s="5" t="s">
        <v>103</v>
      </c>
    </row>
    <row r="39" spans="1:11" x14ac:dyDescent="0.25">
      <c r="A39" s="7" t="s">
        <v>105</v>
      </c>
      <c r="B39" s="8">
        <v>8.6999999999999993</v>
      </c>
      <c r="D39" s="7" t="s">
        <v>155</v>
      </c>
      <c r="E39" s="8">
        <v>2015</v>
      </c>
      <c r="G39" s="7" t="s">
        <v>105</v>
      </c>
      <c r="H39" s="8">
        <v>8.6999999999999993</v>
      </c>
      <c r="J39" s="7" t="s">
        <v>155</v>
      </c>
      <c r="K39" s="8" t="s">
        <v>40</v>
      </c>
    </row>
    <row r="40" spans="1:11" x14ac:dyDescent="0.25">
      <c r="A40" s="4" t="s">
        <v>109</v>
      </c>
      <c r="B40" s="5">
        <v>9.1999999999999993</v>
      </c>
      <c r="D40" s="4" t="s">
        <v>157</v>
      </c>
      <c r="E40" s="5">
        <v>2002</v>
      </c>
      <c r="G40" s="4" t="s">
        <v>109</v>
      </c>
      <c r="H40" s="5">
        <v>9.1999999999999993</v>
      </c>
      <c r="J40" s="4" t="s">
        <v>157</v>
      </c>
      <c r="K40" s="8" t="s">
        <v>149</v>
      </c>
    </row>
    <row r="41" spans="1:11" x14ac:dyDescent="0.25">
      <c r="A41" s="7" t="s">
        <v>112</v>
      </c>
      <c r="B41" s="8">
        <v>8</v>
      </c>
      <c r="D41" s="7" t="s">
        <v>159</v>
      </c>
      <c r="E41" s="8">
        <v>2008</v>
      </c>
      <c r="G41" s="7" t="s">
        <v>112</v>
      </c>
      <c r="H41" s="8">
        <v>8</v>
      </c>
      <c r="J41" s="7" t="s">
        <v>159</v>
      </c>
      <c r="K41" s="5" t="s">
        <v>149</v>
      </c>
    </row>
    <row r="42" spans="1:11" x14ac:dyDescent="0.25">
      <c r="A42" s="4" t="s">
        <v>114</v>
      </c>
      <c r="B42" s="5">
        <v>8.5</v>
      </c>
      <c r="D42" s="4" t="s">
        <v>162</v>
      </c>
      <c r="E42" s="5">
        <v>2011</v>
      </c>
      <c r="G42" s="4" t="s">
        <v>114</v>
      </c>
      <c r="H42" s="5">
        <v>8.5</v>
      </c>
      <c r="J42" s="4" t="s">
        <v>162</v>
      </c>
      <c r="K42" s="8" t="s">
        <v>29</v>
      </c>
    </row>
    <row r="43" spans="1:11" x14ac:dyDescent="0.25">
      <c r="A43" s="7" t="s">
        <v>117</v>
      </c>
      <c r="B43" s="8">
        <v>8.1999999999999993</v>
      </c>
      <c r="D43" s="7" t="s">
        <v>167</v>
      </c>
      <c r="E43" s="8">
        <v>2007</v>
      </c>
      <c r="G43" s="7" t="s">
        <v>117</v>
      </c>
      <c r="H43" s="8">
        <v>8.1999999999999993</v>
      </c>
      <c r="J43" s="7" t="s">
        <v>167</v>
      </c>
      <c r="K43" s="5" t="s">
        <v>40</v>
      </c>
    </row>
    <row r="44" spans="1:11" x14ac:dyDescent="0.25">
      <c r="A44" s="4" t="s">
        <v>121</v>
      </c>
      <c r="B44" s="5">
        <v>8.3000000000000007</v>
      </c>
      <c r="D44" s="4" t="s">
        <v>170</v>
      </c>
      <c r="E44" s="5">
        <v>2009</v>
      </c>
      <c r="G44" s="4" t="s">
        <v>121</v>
      </c>
      <c r="H44" s="5">
        <v>8.3000000000000007</v>
      </c>
      <c r="J44" s="4" t="s">
        <v>170</v>
      </c>
      <c r="K44" s="8" t="s">
        <v>97</v>
      </c>
    </row>
    <row r="45" spans="1:11" x14ac:dyDescent="0.25">
      <c r="A45" s="7" t="s">
        <v>125</v>
      </c>
      <c r="B45" s="8">
        <v>8.4</v>
      </c>
      <c r="D45" s="7" t="s">
        <v>174</v>
      </c>
      <c r="E45" s="8">
        <v>2011</v>
      </c>
      <c r="G45" s="7" t="s">
        <v>125</v>
      </c>
      <c r="H45" s="8">
        <v>8.4</v>
      </c>
      <c r="J45" s="7" t="s">
        <v>174</v>
      </c>
      <c r="K45" s="5" t="s">
        <v>165</v>
      </c>
    </row>
    <row r="46" spans="1:11" x14ac:dyDescent="0.25">
      <c r="A46" s="4" t="s">
        <v>129</v>
      </c>
      <c r="B46" s="5">
        <v>8.3000000000000007</v>
      </c>
      <c r="D46" s="4" t="s">
        <v>178</v>
      </c>
      <c r="E46" s="5">
        <v>2020</v>
      </c>
      <c r="G46" s="4" t="s">
        <v>129</v>
      </c>
      <c r="H46" s="5">
        <v>8.3000000000000007</v>
      </c>
      <c r="J46" s="4" t="s">
        <v>178</v>
      </c>
      <c r="K46" s="8" t="s">
        <v>169</v>
      </c>
    </row>
    <row r="47" spans="1:11" x14ac:dyDescent="0.25">
      <c r="A47" s="7" t="s">
        <v>132</v>
      </c>
      <c r="B47" s="8">
        <v>8.6</v>
      </c>
      <c r="D47" s="7" t="s">
        <v>181</v>
      </c>
      <c r="E47" s="8">
        <v>2009</v>
      </c>
      <c r="G47" s="7" t="s">
        <v>132</v>
      </c>
      <c r="H47" s="8">
        <v>8.6</v>
      </c>
      <c r="J47" s="7" t="s">
        <v>181</v>
      </c>
      <c r="K47" s="5" t="s">
        <v>172</v>
      </c>
    </row>
    <row r="48" spans="1:11" x14ac:dyDescent="0.25">
      <c r="A48" s="4" t="s">
        <v>134</v>
      </c>
      <c r="B48" s="5">
        <v>8.6</v>
      </c>
      <c r="D48" s="4" t="s">
        <v>183</v>
      </c>
      <c r="E48" s="5">
        <v>2005</v>
      </c>
      <c r="G48" s="4" t="s">
        <v>134</v>
      </c>
      <c r="H48" s="5">
        <v>8.6</v>
      </c>
      <c r="J48" s="4" t="s">
        <v>183</v>
      </c>
      <c r="K48" s="8" t="s">
        <v>60</v>
      </c>
    </row>
    <row r="49" spans="1:11" x14ac:dyDescent="0.25">
      <c r="A49" s="7" t="s">
        <v>137</v>
      </c>
      <c r="B49" s="8">
        <v>8.8000000000000007</v>
      </c>
      <c r="D49" s="7" t="s">
        <v>187</v>
      </c>
      <c r="E49" s="8">
        <v>1990</v>
      </c>
      <c r="G49" s="7" t="s">
        <v>137</v>
      </c>
      <c r="H49" s="8">
        <v>8.8000000000000007</v>
      </c>
      <c r="J49" s="7" t="s">
        <v>187</v>
      </c>
      <c r="K49" s="5" t="s">
        <v>40</v>
      </c>
    </row>
    <row r="50" spans="1:11" x14ac:dyDescent="0.25">
      <c r="A50" s="4" t="s">
        <v>139</v>
      </c>
      <c r="B50" s="5">
        <v>8.6999999999999993</v>
      </c>
      <c r="D50" s="4" t="s">
        <v>191</v>
      </c>
      <c r="E50" s="5">
        <v>2013</v>
      </c>
      <c r="G50" s="4" t="s">
        <v>139</v>
      </c>
      <c r="H50" s="5">
        <v>8.6999999999999993</v>
      </c>
      <c r="J50" s="4" t="s">
        <v>191</v>
      </c>
      <c r="K50" s="8" t="s">
        <v>111</v>
      </c>
    </row>
    <row r="51" spans="1:11" x14ac:dyDescent="0.25">
      <c r="A51" s="7" t="s">
        <v>141</v>
      </c>
      <c r="B51" s="8">
        <v>9</v>
      </c>
      <c r="D51" s="7" t="s">
        <v>193</v>
      </c>
      <c r="E51" s="8">
        <v>2017</v>
      </c>
      <c r="G51" s="7" t="s">
        <v>141</v>
      </c>
      <c r="H51" s="8">
        <v>9</v>
      </c>
      <c r="J51" s="7" t="s">
        <v>193</v>
      </c>
      <c r="K51" s="5" t="s">
        <v>185</v>
      </c>
    </row>
    <row r="52" spans="1:11" x14ac:dyDescent="0.25">
      <c r="A52" s="4" t="s">
        <v>143</v>
      </c>
      <c r="B52" s="5">
        <v>8.6999999999999993</v>
      </c>
      <c r="D52" s="4" t="s">
        <v>195</v>
      </c>
      <c r="E52" s="5">
        <v>1989</v>
      </c>
      <c r="G52" s="4" t="s">
        <v>143</v>
      </c>
      <c r="H52" s="5">
        <v>8.6999999999999993</v>
      </c>
      <c r="J52" s="4" t="s">
        <v>195</v>
      </c>
      <c r="K52" s="8" t="s">
        <v>189</v>
      </c>
    </row>
    <row r="53" spans="1:11" x14ac:dyDescent="0.25">
      <c r="A53" s="7" t="s">
        <v>146</v>
      </c>
      <c r="B53" s="8">
        <v>8.6</v>
      </c>
      <c r="D53" s="7" t="s">
        <v>199</v>
      </c>
      <c r="E53" s="8">
        <v>2018</v>
      </c>
      <c r="G53" s="7" t="s">
        <v>146</v>
      </c>
      <c r="H53" s="8">
        <v>8.6</v>
      </c>
      <c r="J53" s="7" t="s">
        <v>199</v>
      </c>
      <c r="K53" s="5" t="s">
        <v>29</v>
      </c>
    </row>
    <row r="54" spans="1:11" x14ac:dyDescent="0.25">
      <c r="A54" s="4" t="s">
        <v>151</v>
      </c>
      <c r="B54" s="5">
        <v>8.6</v>
      </c>
      <c r="D54" s="4" t="s">
        <v>202</v>
      </c>
      <c r="E54" s="5">
        <v>2009</v>
      </c>
      <c r="G54" s="4" t="s">
        <v>151</v>
      </c>
      <c r="H54" s="5">
        <v>8.6</v>
      </c>
      <c r="J54" s="4" t="s">
        <v>202</v>
      </c>
      <c r="K54" s="8" t="s">
        <v>29</v>
      </c>
    </row>
    <row r="55" spans="1:11" x14ac:dyDescent="0.25">
      <c r="A55" s="7" t="s">
        <v>155</v>
      </c>
      <c r="B55" s="8">
        <v>8.6</v>
      </c>
      <c r="D55" s="7" t="s">
        <v>205</v>
      </c>
      <c r="E55" s="8">
        <v>2019</v>
      </c>
      <c r="G55" s="7" t="s">
        <v>155</v>
      </c>
      <c r="H55" s="8">
        <v>8.6</v>
      </c>
      <c r="J55" s="7" t="s">
        <v>205</v>
      </c>
      <c r="K55" s="5" t="s">
        <v>60</v>
      </c>
    </row>
    <row r="56" spans="1:11" x14ac:dyDescent="0.25">
      <c r="A56" s="4" t="s">
        <v>157</v>
      </c>
      <c r="B56" s="5">
        <v>9</v>
      </c>
      <c r="D56" s="4" t="s">
        <v>208</v>
      </c>
      <c r="E56" s="5">
        <v>2013</v>
      </c>
      <c r="G56" s="4" t="s">
        <v>157</v>
      </c>
      <c r="H56" s="5">
        <v>9</v>
      </c>
      <c r="J56" s="4" t="s">
        <v>208</v>
      </c>
      <c r="K56" s="8" t="s">
        <v>40</v>
      </c>
    </row>
    <row r="57" spans="1:11" x14ac:dyDescent="0.25">
      <c r="A57" s="7" t="s">
        <v>159</v>
      </c>
      <c r="B57" s="8">
        <v>8.4</v>
      </c>
      <c r="D57" s="7" t="s">
        <v>211</v>
      </c>
      <c r="E57" s="8">
        <v>2011</v>
      </c>
      <c r="G57" s="7" t="s">
        <v>159</v>
      </c>
      <c r="H57" s="8">
        <v>8.4</v>
      </c>
      <c r="J57" s="7" t="s">
        <v>211</v>
      </c>
      <c r="K57" s="5" t="s">
        <v>40</v>
      </c>
    </row>
    <row r="58" spans="1:11" x14ac:dyDescent="0.25">
      <c r="A58" s="4" t="s">
        <v>162</v>
      </c>
      <c r="B58" s="5">
        <v>8.6</v>
      </c>
      <c r="D58" s="4" t="s">
        <v>214</v>
      </c>
      <c r="E58" s="5">
        <v>2014</v>
      </c>
      <c r="G58" s="4" t="s">
        <v>162</v>
      </c>
      <c r="H58" s="5">
        <v>8.6</v>
      </c>
      <c r="J58" s="4" t="s">
        <v>214</v>
      </c>
      <c r="K58" s="8" t="s">
        <v>40</v>
      </c>
    </row>
    <row r="59" spans="1:11" x14ac:dyDescent="0.25">
      <c r="A59" s="7" t="s">
        <v>167</v>
      </c>
      <c r="B59" s="8">
        <v>8.1</v>
      </c>
      <c r="D59" s="7" t="s">
        <v>217</v>
      </c>
      <c r="E59" s="8">
        <v>2005</v>
      </c>
      <c r="G59" s="7" t="s">
        <v>167</v>
      </c>
      <c r="H59" s="8">
        <v>8.1</v>
      </c>
      <c r="J59" s="7" t="s">
        <v>217</v>
      </c>
      <c r="K59" s="5" t="s">
        <v>55</v>
      </c>
    </row>
    <row r="60" spans="1:11" x14ac:dyDescent="0.25">
      <c r="A60" s="4" t="s">
        <v>170</v>
      </c>
      <c r="B60" s="5">
        <v>8.4</v>
      </c>
      <c r="D60" s="4" t="s">
        <v>219</v>
      </c>
      <c r="E60" s="5">
        <v>2016</v>
      </c>
      <c r="G60" s="4" t="s">
        <v>170</v>
      </c>
      <c r="H60" s="5">
        <v>8.4</v>
      </c>
      <c r="J60" s="4" t="s">
        <v>219</v>
      </c>
      <c r="K60" s="8" t="s">
        <v>189</v>
      </c>
    </row>
    <row r="61" spans="1:11" x14ac:dyDescent="0.25">
      <c r="A61" s="7" t="s">
        <v>174</v>
      </c>
      <c r="B61" s="8">
        <v>8.5</v>
      </c>
      <c r="D61" s="7" t="s">
        <v>221</v>
      </c>
      <c r="E61" s="8">
        <v>2015</v>
      </c>
      <c r="G61" s="7" t="s">
        <v>174</v>
      </c>
      <c r="H61" s="8">
        <v>8.5</v>
      </c>
      <c r="J61" s="7" t="s">
        <v>221</v>
      </c>
      <c r="K61" s="5" t="s">
        <v>60</v>
      </c>
    </row>
    <row r="62" spans="1:11" x14ac:dyDescent="0.25">
      <c r="A62" s="4" t="s">
        <v>178</v>
      </c>
      <c r="B62" s="5">
        <v>9.1999999999999993</v>
      </c>
      <c r="D62" s="4" t="s">
        <v>224</v>
      </c>
      <c r="E62" s="5">
        <v>2005</v>
      </c>
      <c r="G62" s="4" t="s">
        <v>178</v>
      </c>
      <c r="H62" s="5">
        <v>9.1999999999999993</v>
      </c>
      <c r="J62" s="4" t="s">
        <v>224</v>
      </c>
      <c r="K62" s="8" t="s">
        <v>29</v>
      </c>
    </row>
    <row r="63" spans="1:11" x14ac:dyDescent="0.25">
      <c r="A63" s="7" t="s">
        <v>181</v>
      </c>
      <c r="B63" s="8">
        <v>8.5</v>
      </c>
      <c r="D63" s="7" t="s">
        <v>228</v>
      </c>
      <c r="E63" s="8">
        <v>2016</v>
      </c>
      <c r="G63" s="7" t="s">
        <v>181</v>
      </c>
      <c r="H63" s="8">
        <v>8.5</v>
      </c>
      <c r="J63" s="7" t="s">
        <v>228</v>
      </c>
      <c r="K63" s="5" t="s">
        <v>60</v>
      </c>
    </row>
    <row r="64" spans="1:11" x14ac:dyDescent="0.25">
      <c r="A64" s="4" t="s">
        <v>183</v>
      </c>
      <c r="B64" s="5">
        <v>8.8000000000000007</v>
      </c>
      <c r="D64" s="4" t="s">
        <v>231</v>
      </c>
      <c r="E64" s="5">
        <v>2013</v>
      </c>
      <c r="G64" s="4" t="s">
        <v>183</v>
      </c>
      <c r="H64" s="5">
        <v>8.8000000000000007</v>
      </c>
      <c r="J64" s="4" t="s">
        <v>231</v>
      </c>
      <c r="K64" s="8" t="s">
        <v>839</v>
      </c>
    </row>
    <row r="65" spans="1:11" x14ac:dyDescent="0.25">
      <c r="A65" s="7" t="s">
        <v>187</v>
      </c>
      <c r="B65" s="8">
        <v>8.8000000000000007</v>
      </c>
      <c r="D65" s="7" t="s">
        <v>15</v>
      </c>
      <c r="E65" s="8">
        <v>2011</v>
      </c>
      <c r="G65" s="7" t="s">
        <v>187</v>
      </c>
      <c r="H65" s="8">
        <v>8.8000000000000007</v>
      </c>
      <c r="J65" s="7" t="s">
        <v>15</v>
      </c>
      <c r="K65" s="5" t="s">
        <v>840</v>
      </c>
    </row>
    <row r="71" spans="1:11" ht="18.75" x14ac:dyDescent="0.25">
      <c r="A71" s="32" t="s">
        <v>834</v>
      </c>
      <c r="D71" s="44" t="s">
        <v>835</v>
      </c>
      <c r="E71" s="45"/>
    </row>
    <row r="72" spans="1:11" x14ac:dyDescent="0.25">
      <c r="A72" s="1" t="s">
        <v>0</v>
      </c>
      <c r="D72" s="1" t="s">
        <v>0</v>
      </c>
      <c r="E72" s="2" t="s">
        <v>7</v>
      </c>
    </row>
    <row r="73" spans="1:11" x14ac:dyDescent="0.25">
      <c r="A73" s="4" t="s">
        <v>9</v>
      </c>
      <c r="D73" s="4" t="s">
        <v>75</v>
      </c>
      <c r="E73" s="5">
        <v>5</v>
      </c>
    </row>
    <row r="74" spans="1:11" x14ac:dyDescent="0.25">
      <c r="A74" s="7" t="s">
        <v>15</v>
      </c>
      <c r="D74" s="7" t="s">
        <v>78</v>
      </c>
      <c r="E74" s="8">
        <v>6</v>
      </c>
    </row>
    <row r="75" spans="1:11" x14ac:dyDescent="0.25">
      <c r="A75" s="4" t="s">
        <v>37</v>
      </c>
      <c r="D75" s="4" t="s">
        <v>81</v>
      </c>
      <c r="E75" s="5">
        <v>7</v>
      </c>
    </row>
    <row r="76" spans="1:11" x14ac:dyDescent="0.25">
      <c r="A76" s="7" t="s">
        <v>25</v>
      </c>
      <c r="D76" s="7" t="s">
        <v>85</v>
      </c>
      <c r="E76" s="8">
        <v>8</v>
      </c>
    </row>
    <row r="77" spans="1:11" x14ac:dyDescent="0.25">
      <c r="A77" s="4" t="s">
        <v>30</v>
      </c>
      <c r="D77" s="4" t="s">
        <v>88</v>
      </c>
      <c r="E77" s="5">
        <v>9</v>
      </c>
    </row>
    <row r="78" spans="1:11" x14ac:dyDescent="0.25">
      <c r="A78" s="7" t="s">
        <v>35</v>
      </c>
      <c r="D78" s="7" t="s">
        <v>91</v>
      </c>
      <c r="E78" s="8">
        <v>10</v>
      </c>
    </row>
    <row r="79" spans="1:11" x14ac:dyDescent="0.25">
      <c r="A79" s="4" t="s">
        <v>37</v>
      </c>
      <c r="D79" s="4" t="s">
        <v>95</v>
      </c>
      <c r="E79" s="5">
        <v>11</v>
      </c>
    </row>
    <row r="80" spans="1:11" x14ac:dyDescent="0.25">
      <c r="A80" s="7" t="s">
        <v>41</v>
      </c>
      <c r="D80" s="7" t="s">
        <v>98</v>
      </c>
      <c r="E80" s="8">
        <v>12</v>
      </c>
    </row>
    <row r="81" spans="1:5" x14ac:dyDescent="0.25">
      <c r="A81" s="4" t="s">
        <v>44</v>
      </c>
      <c r="D81" s="4" t="s">
        <v>101</v>
      </c>
      <c r="E81" s="5">
        <v>13</v>
      </c>
    </row>
    <row r="82" spans="1:5" x14ac:dyDescent="0.25">
      <c r="A82" s="7" t="s">
        <v>47</v>
      </c>
      <c r="D82" s="7" t="s">
        <v>105</v>
      </c>
      <c r="E82" s="8">
        <v>14</v>
      </c>
    </row>
    <row r="83" spans="1:5" x14ac:dyDescent="0.25">
      <c r="A83" s="4" t="s">
        <v>52</v>
      </c>
      <c r="D83" s="4" t="s">
        <v>109</v>
      </c>
      <c r="E83" s="5">
        <v>15</v>
      </c>
    </row>
    <row r="84" spans="1:5" x14ac:dyDescent="0.25">
      <c r="A84" s="7" t="s">
        <v>57</v>
      </c>
      <c r="D84" s="7" t="s">
        <v>112</v>
      </c>
      <c r="E84" s="8">
        <v>16</v>
      </c>
    </row>
    <row r="85" spans="1:5" x14ac:dyDescent="0.25">
      <c r="A85" s="4" t="s">
        <v>62</v>
      </c>
      <c r="D85" s="4" t="s">
        <v>114</v>
      </c>
      <c r="E85" s="5">
        <v>17</v>
      </c>
    </row>
    <row r="86" spans="1:5" x14ac:dyDescent="0.25">
      <c r="A86" s="7" t="s">
        <v>66</v>
      </c>
      <c r="D86" s="7" t="s">
        <v>117</v>
      </c>
      <c r="E86" s="8">
        <v>18</v>
      </c>
    </row>
    <row r="87" spans="1:5" x14ac:dyDescent="0.25">
      <c r="A87" s="4" t="s">
        <v>68</v>
      </c>
      <c r="D87" s="4" t="s">
        <v>121</v>
      </c>
      <c r="E87" s="5">
        <v>19</v>
      </c>
    </row>
    <row r="88" spans="1:5" x14ac:dyDescent="0.25">
      <c r="A88" s="7" t="s">
        <v>71</v>
      </c>
      <c r="D88" s="7" t="s">
        <v>125</v>
      </c>
      <c r="E88" s="8">
        <v>20</v>
      </c>
    </row>
    <row r="89" spans="1:5" x14ac:dyDescent="0.25">
      <c r="A89" s="4" t="s">
        <v>75</v>
      </c>
      <c r="D89" s="4" t="s">
        <v>129</v>
      </c>
      <c r="E89" s="5">
        <v>21</v>
      </c>
    </row>
    <row r="90" spans="1:5" x14ac:dyDescent="0.25">
      <c r="A90" s="7" t="s">
        <v>78</v>
      </c>
      <c r="D90" s="7" t="s">
        <v>132</v>
      </c>
      <c r="E90" s="8">
        <v>22</v>
      </c>
    </row>
    <row r="91" spans="1:5" x14ac:dyDescent="0.25">
      <c r="A91" s="4" t="s">
        <v>81</v>
      </c>
      <c r="D91" s="4" t="s">
        <v>134</v>
      </c>
      <c r="E91" s="5">
        <v>23</v>
      </c>
    </row>
    <row r="92" spans="1:5" x14ac:dyDescent="0.25">
      <c r="A92" s="7" t="s">
        <v>66</v>
      </c>
      <c r="D92" s="7" t="s">
        <v>137</v>
      </c>
      <c r="E92" s="8">
        <v>24</v>
      </c>
    </row>
    <row r="93" spans="1:5" x14ac:dyDescent="0.25">
      <c r="A93" s="7" t="s">
        <v>137</v>
      </c>
      <c r="D93" s="4" t="s">
        <v>139</v>
      </c>
      <c r="E93" s="5">
        <v>25</v>
      </c>
    </row>
    <row r="94" spans="1:5" x14ac:dyDescent="0.25">
      <c r="A94" s="7" t="s">
        <v>91</v>
      </c>
      <c r="D94" s="7" t="s">
        <v>141</v>
      </c>
      <c r="E94" s="8">
        <v>26</v>
      </c>
    </row>
    <row r="95" spans="1:5" x14ac:dyDescent="0.25">
      <c r="A95" s="4" t="s">
        <v>95</v>
      </c>
      <c r="D95" s="4" t="s">
        <v>143</v>
      </c>
      <c r="E95" s="5">
        <v>27</v>
      </c>
    </row>
    <row r="96" spans="1:5" x14ac:dyDescent="0.25">
      <c r="A96" s="7" t="s">
        <v>98</v>
      </c>
      <c r="D96" s="7" t="s">
        <v>146</v>
      </c>
      <c r="E96" s="8">
        <v>28</v>
      </c>
    </row>
    <row r="97" spans="1:5" x14ac:dyDescent="0.25">
      <c r="A97" s="4" t="s">
        <v>101</v>
      </c>
      <c r="D97" s="4" t="s">
        <v>151</v>
      </c>
      <c r="E97" s="5">
        <v>29</v>
      </c>
    </row>
    <row r="98" spans="1:5" x14ac:dyDescent="0.25">
      <c r="A98" s="7" t="s">
        <v>105</v>
      </c>
      <c r="D98" s="7" t="s">
        <v>155</v>
      </c>
      <c r="E98" s="8">
        <v>30</v>
      </c>
    </row>
    <row r="99" spans="1:5" x14ac:dyDescent="0.25">
      <c r="A99" s="4" t="s">
        <v>109</v>
      </c>
      <c r="D99" s="4" t="s">
        <v>157</v>
      </c>
      <c r="E99" s="8">
        <v>31</v>
      </c>
    </row>
    <row r="100" spans="1:5" x14ac:dyDescent="0.25">
      <c r="A100" s="7" t="s">
        <v>47</v>
      </c>
      <c r="D100" s="7" t="s">
        <v>159</v>
      </c>
      <c r="E100" s="5">
        <v>32</v>
      </c>
    </row>
    <row r="101" spans="1:5" x14ac:dyDescent="0.25">
      <c r="A101" s="4" t="s">
        <v>114</v>
      </c>
      <c r="D101" s="4" t="s">
        <v>162</v>
      </c>
      <c r="E101" s="8">
        <v>33</v>
      </c>
    </row>
    <row r="102" spans="1:5" x14ac:dyDescent="0.25">
      <c r="A102" s="7" t="s">
        <v>117</v>
      </c>
      <c r="D102" s="7" t="s">
        <v>167</v>
      </c>
      <c r="E102" s="5">
        <v>34</v>
      </c>
    </row>
    <row r="103" spans="1:5" x14ac:dyDescent="0.25">
      <c r="A103" s="4" t="s">
        <v>121</v>
      </c>
      <c r="D103" s="4" t="s">
        <v>170</v>
      </c>
      <c r="E103" s="8">
        <v>35</v>
      </c>
    </row>
    <row r="104" spans="1:5" x14ac:dyDescent="0.25">
      <c r="A104" s="7" t="s">
        <v>125</v>
      </c>
      <c r="D104" s="7" t="s">
        <v>174</v>
      </c>
      <c r="E104" s="5">
        <v>36</v>
      </c>
    </row>
    <row r="105" spans="1:5" x14ac:dyDescent="0.25">
      <c r="A105" s="4" t="s">
        <v>129</v>
      </c>
      <c r="D105" s="4" t="s">
        <v>178</v>
      </c>
      <c r="E105" s="8">
        <v>37</v>
      </c>
    </row>
    <row r="106" spans="1:5" x14ac:dyDescent="0.25">
      <c r="A106" s="7" t="s">
        <v>132</v>
      </c>
      <c r="D106" s="7" t="s">
        <v>181</v>
      </c>
      <c r="E106" s="5">
        <v>38</v>
      </c>
    </row>
    <row r="107" spans="1:5" x14ac:dyDescent="0.25">
      <c r="A107" s="4" t="s">
        <v>134</v>
      </c>
      <c r="D107" s="4" t="s">
        <v>183</v>
      </c>
      <c r="E107" s="8">
        <v>39</v>
      </c>
    </row>
    <row r="108" spans="1:5" x14ac:dyDescent="0.25">
      <c r="A108" s="7" t="s">
        <v>137</v>
      </c>
      <c r="D108" s="7" t="s">
        <v>187</v>
      </c>
      <c r="E108" s="5">
        <v>40</v>
      </c>
    </row>
    <row r="109" spans="1:5" x14ac:dyDescent="0.25">
      <c r="A109" s="4" t="s">
        <v>139</v>
      </c>
      <c r="D109" s="4" t="s">
        <v>191</v>
      </c>
      <c r="E109" s="8">
        <v>41</v>
      </c>
    </row>
    <row r="110" spans="1:5" x14ac:dyDescent="0.25">
      <c r="A110" s="7" t="s">
        <v>141</v>
      </c>
      <c r="D110" s="7" t="s">
        <v>193</v>
      </c>
      <c r="E110" s="5">
        <v>42</v>
      </c>
    </row>
    <row r="111" spans="1:5" x14ac:dyDescent="0.25">
      <c r="A111" s="4" t="s">
        <v>143</v>
      </c>
      <c r="D111" s="4" t="s">
        <v>195</v>
      </c>
      <c r="E111" s="8">
        <v>43</v>
      </c>
    </row>
    <row r="112" spans="1:5" x14ac:dyDescent="0.25">
      <c r="A112" s="7" t="s">
        <v>181</v>
      </c>
      <c r="D112" s="7" t="s">
        <v>199</v>
      </c>
      <c r="E112" s="5">
        <v>44</v>
      </c>
    </row>
    <row r="113" spans="1:5" x14ac:dyDescent="0.25">
      <c r="A113" s="4" t="s">
        <v>151</v>
      </c>
      <c r="D113" s="4" t="s">
        <v>202</v>
      </c>
      <c r="E113" s="8">
        <v>45</v>
      </c>
    </row>
    <row r="114" spans="1:5" x14ac:dyDescent="0.25">
      <c r="A114" s="7" t="s">
        <v>155</v>
      </c>
      <c r="D114" s="7" t="s">
        <v>205</v>
      </c>
      <c r="E114" s="5">
        <v>46</v>
      </c>
    </row>
    <row r="115" spans="1:5" x14ac:dyDescent="0.25">
      <c r="A115" s="4" t="s">
        <v>157</v>
      </c>
      <c r="D115" s="4" t="s">
        <v>208</v>
      </c>
      <c r="E115" s="8">
        <v>47</v>
      </c>
    </row>
    <row r="116" spans="1:5" x14ac:dyDescent="0.25">
      <c r="A116" s="7" t="s">
        <v>159</v>
      </c>
      <c r="D116" s="7" t="s">
        <v>211</v>
      </c>
      <c r="E116" s="5">
        <v>48</v>
      </c>
    </row>
    <row r="117" spans="1:5" x14ac:dyDescent="0.25">
      <c r="A117" s="4" t="s">
        <v>52</v>
      </c>
      <c r="D117" s="4" t="s">
        <v>214</v>
      </c>
      <c r="E117" s="8">
        <v>49</v>
      </c>
    </row>
    <row r="118" spans="1:5" x14ac:dyDescent="0.25">
      <c r="A118" s="7" t="s">
        <v>167</v>
      </c>
      <c r="D118" s="7" t="s">
        <v>217</v>
      </c>
      <c r="E118" s="5">
        <v>50</v>
      </c>
    </row>
    <row r="119" spans="1:5" x14ac:dyDescent="0.25">
      <c r="A119" s="4" t="s">
        <v>170</v>
      </c>
      <c r="D119" s="4" t="s">
        <v>219</v>
      </c>
      <c r="E119" s="8">
        <v>51</v>
      </c>
    </row>
    <row r="120" spans="1:5" x14ac:dyDescent="0.25">
      <c r="A120" s="7" t="s">
        <v>174</v>
      </c>
      <c r="D120" s="7" t="s">
        <v>221</v>
      </c>
      <c r="E120" s="5">
        <v>52</v>
      </c>
    </row>
    <row r="121" spans="1:5" x14ac:dyDescent="0.25">
      <c r="A121" s="4" t="s">
        <v>178</v>
      </c>
      <c r="D121" s="4" t="s">
        <v>224</v>
      </c>
      <c r="E121" s="8">
        <v>53</v>
      </c>
    </row>
    <row r="122" spans="1:5" x14ac:dyDescent="0.25">
      <c r="A122" s="7" t="s">
        <v>181</v>
      </c>
      <c r="D122" s="7" t="s">
        <v>228</v>
      </c>
      <c r="E122" s="5">
        <v>54</v>
      </c>
    </row>
    <row r="123" spans="1:5" x14ac:dyDescent="0.25">
      <c r="A123" s="4" t="s">
        <v>183</v>
      </c>
      <c r="D123" s="4" t="s">
        <v>231</v>
      </c>
      <c r="E123" s="8">
        <v>55</v>
      </c>
    </row>
    <row r="124" spans="1:5" x14ac:dyDescent="0.25">
      <c r="A124" s="7" t="s">
        <v>187</v>
      </c>
      <c r="D124" s="7" t="s">
        <v>15</v>
      </c>
      <c r="E124" s="5">
        <v>56</v>
      </c>
    </row>
  </sheetData>
  <mergeCells count="5">
    <mergeCell ref="A12:B12"/>
    <mergeCell ref="D12:E12"/>
    <mergeCell ref="G12:H12"/>
    <mergeCell ref="J12:K12"/>
    <mergeCell ref="D71:E71"/>
  </mergeCells>
  <phoneticPr fontId="26" type="noConversion"/>
  <conditionalFormatting sqref="A14:A65">
    <cfRule type="expression" dxfId="14" priority="28">
      <formula>$B14&gt;9</formula>
    </cfRule>
  </conditionalFormatting>
  <conditionalFormatting sqref="D65">
    <cfRule type="expression" dxfId="13" priority="25">
      <formula>$B65&gt;9</formula>
    </cfRule>
  </conditionalFormatting>
  <conditionalFormatting sqref="D14:D65">
    <cfRule type="expression" dxfId="12" priority="24">
      <formula>$E14&lt;2010</formula>
    </cfRule>
  </conditionalFormatting>
  <conditionalFormatting sqref="I13">
    <cfRule type="dataBar" priority="22">
      <dataBar>
        <cfvo type="min"/>
        <cfvo type="max"/>
        <color theme="5" tint="-0.249977111117893"/>
      </dataBar>
      <extLst>
        <ext xmlns:x14="http://schemas.microsoft.com/office/spreadsheetml/2009/9/main" uri="{B025F937-C7B1-47D3-B67F-A62EFF666E3E}">
          <x14:id>{7B05A0C9-1EC4-4D00-B408-1A89FF80F07B}</x14:id>
        </ext>
      </extLst>
    </cfRule>
  </conditionalFormatting>
  <conditionalFormatting sqref="G13:H65">
    <cfRule type="dataBar" priority="21">
      <dataBar>
        <cfvo type="min"/>
        <cfvo type="max"/>
        <color rgb="FF63C384"/>
      </dataBar>
      <extLst>
        <ext xmlns:x14="http://schemas.microsoft.com/office/spreadsheetml/2009/9/main" uri="{B025F937-C7B1-47D3-B67F-A62EFF666E3E}">
          <x14:id>{CE9D2FDF-BE09-4D35-B75B-A2DBA5C6F308}</x14:id>
        </ext>
      </extLst>
    </cfRule>
  </conditionalFormatting>
  <conditionalFormatting sqref="G14:H65">
    <cfRule type="dataBar" priority="20">
      <dataBar>
        <cfvo type="min"/>
        <cfvo type="max"/>
        <color rgb="FFFF555A"/>
      </dataBar>
      <extLst>
        <ext xmlns:x14="http://schemas.microsoft.com/office/spreadsheetml/2009/9/main" uri="{B025F937-C7B1-47D3-B67F-A62EFF666E3E}">
          <x14:id>{5D156AB6-1577-45AC-8782-752925DF67C9}</x14:id>
        </ext>
      </extLst>
    </cfRule>
  </conditionalFormatting>
  <conditionalFormatting sqref="J14:J65">
    <cfRule type="expression" dxfId="11" priority="17">
      <formula>$K14&gt;"4*"</formula>
    </cfRule>
  </conditionalFormatting>
  <conditionalFormatting sqref="A73:A124">
    <cfRule type="duplicateValues" dxfId="10" priority="16"/>
  </conditionalFormatting>
  <conditionalFormatting sqref="D73:D124">
    <cfRule type="expression" dxfId="9" priority="15">
      <formula>$K73&gt;"4*"</formula>
    </cfRule>
  </conditionalFormatting>
  <conditionalFormatting sqref="D73:D124">
    <cfRule type="colorScale" priority="14">
      <colorScale>
        <cfvo type="min"/>
        <cfvo type="percentile" val="50"/>
        <cfvo type="max"/>
        <color rgb="FFF8696B"/>
        <color rgb="FFFCFCFF"/>
        <color rgb="FF63BE7B"/>
      </colorScale>
    </cfRule>
  </conditionalFormatting>
  <conditionalFormatting sqref="E73:E124">
    <cfRule type="colorScale" priority="5">
      <colorScale>
        <cfvo type="min"/>
        <cfvo type="percentile" val="50"/>
        <cfvo type="max"/>
        <color rgb="FFF8696B"/>
        <color rgb="FFFCFCFF"/>
        <color rgb="FF63BE7B"/>
      </colorScale>
    </cfRule>
  </conditionalFormatting>
  <conditionalFormatting sqref="E73:E124">
    <cfRule type="colorScale" priority="2">
      <colorScale>
        <cfvo type="min"/>
        <cfvo type="percentile" val="50"/>
        <cfvo type="max"/>
        <color rgb="FF63BE7B"/>
        <color rgb="FFFFEB84"/>
        <color rgb="FFF8696B"/>
      </colorScale>
    </cfRule>
    <cfRule type="colorScale" priority="3">
      <colorScale>
        <cfvo type="min"/>
        <cfvo type="max"/>
        <color rgb="FFFF7128"/>
        <color rgb="FFFFEF9C"/>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B05A0C9-1EC4-4D00-B408-1A89FF80F07B}">
            <x14:dataBar minLength="0" maxLength="100" gradient="0">
              <x14:cfvo type="autoMin"/>
              <x14:cfvo type="autoMax"/>
              <x14:negativeFillColor rgb="FFFF0000"/>
              <x14:axisColor rgb="FF000000"/>
            </x14:dataBar>
          </x14:cfRule>
          <xm:sqref>I13</xm:sqref>
        </x14:conditionalFormatting>
        <x14:conditionalFormatting xmlns:xm="http://schemas.microsoft.com/office/excel/2006/main">
          <x14:cfRule type="dataBar" id="{CE9D2FDF-BE09-4D35-B75B-A2DBA5C6F308}">
            <x14:dataBar minLength="0" maxLength="100" border="1" negativeBarBorderColorSameAsPositive="0">
              <x14:cfvo type="autoMin"/>
              <x14:cfvo type="autoMax"/>
              <x14:borderColor rgb="FF63C384"/>
              <x14:negativeFillColor rgb="FFFF0000"/>
              <x14:negativeBorderColor rgb="FFFF0000"/>
              <x14:axisColor rgb="FF000000"/>
            </x14:dataBar>
          </x14:cfRule>
          <xm:sqref>G13:H65</xm:sqref>
        </x14:conditionalFormatting>
        <x14:conditionalFormatting xmlns:xm="http://schemas.microsoft.com/office/excel/2006/main">
          <x14:cfRule type="dataBar" id="{5D156AB6-1577-45AC-8782-752925DF67C9}">
            <x14:dataBar minLength="0" maxLength="100" border="1" negativeBarBorderColorSameAsPositive="0">
              <x14:cfvo type="autoMin"/>
              <x14:cfvo type="autoMax"/>
              <x14:borderColor rgb="FFFF555A"/>
              <x14:negativeFillColor rgb="FFFF0000"/>
              <x14:negativeBorderColor rgb="FFFF0000"/>
              <x14:axisColor rgb="FF000000"/>
            </x14:dataBar>
          </x14:cfRule>
          <xm:sqref>G14:H65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FB40-B785-42E6-8316-9578BE4A0FEC}">
  <dimension ref="A1:L158"/>
  <sheetViews>
    <sheetView zoomScale="90" zoomScaleNormal="90" workbookViewId="0">
      <selection activeCell="A15" sqref="A15"/>
    </sheetView>
  </sheetViews>
  <sheetFormatPr defaultRowHeight="15" x14ac:dyDescent="0.25"/>
  <cols>
    <col min="1" max="1" width="65" customWidth="1"/>
    <col min="2" max="2" width="1.7109375" customWidth="1"/>
    <col min="3" max="3" width="30.140625" customWidth="1"/>
    <col min="4" max="4" width="1.7109375" customWidth="1"/>
    <col min="5" max="5" width="31.5703125" customWidth="1"/>
    <col min="6" max="6" width="11.85546875" bestFit="1" customWidth="1"/>
    <col min="7" max="7" width="2" customWidth="1"/>
    <col min="8" max="8" width="25.85546875" customWidth="1"/>
    <col min="9" max="9" width="25.140625" bestFit="1" customWidth="1"/>
    <col min="10" max="10" width="1.85546875" customWidth="1"/>
    <col min="11" max="11" width="26.42578125" customWidth="1"/>
    <col min="12" max="12" width="13.7109375" bestFit="1" customWidth="1"/>
  </cols>
  <sheetData>
    <row r="1" spans="1:12" ht="20.25" x14ac:dyDescent="0.25">
      <c r="A1" s="30" t="s">
        <v>807</v>
      </c>
    </row>
    <row r="2" spans="1:12" ht="18.75" x14ac:dyDescent="0.25">
      <c r="A2" s="13" t="s">
        <v>808</v>
      </c>
    </row>
    <row r="3" spans="1:12" ht="18.75" x14ac:dyDescent="0.25">
      <c r="A3" s="13" t="s">
        <v>809</v>
      </c>
    </row>
    <row r="4" spans="1:12" ht="18.75" x14ac:dyDescent="0.25">
      <c r="A4" s="13" t="s">
        <v>810</v>
      </c>
    </row>
    <row r="5" spans="1:12" ht="18.75" x14ac:dyDescent="0.25">
      <c r="A5" s="13" t="s">
        <v>811</v>
      </c>
    </row>
    <row r="6" spans="1:12" ht="18.75" x14ac:dyDescent="0.25">
      <c r="A6" s="13" t="s">
        <v>812</v>
      </c>
    </row>
    <row r="8" spans="1:12" ht="18.75" x14ac:dyDescent="0.25">
      <c r="A8" s="31" t="s">
        <v>829</v>
      </c>
    </row>
    <row r="9" spans="1:12" ht="18.75" x14ac:dyDescent="0.25">
      <c r="C9" s="32" t="s">
        <v>830</v>
      </c>
      <c r="E9" s="46" t="s">
        <v>832</v>
      </c>
      <c r="F9" s="47"/>
      <c r="H9" s="32" t="s">
        <v>833</v>
      </c>
      <c r="K9" s="32" t="s">
        <v>834</v>
      </c>
    </row>
    <row r="10" spans="1:12" x14ac:dyDescent="0.25">
      <c r="A10" s="33" t="s">
        <v>8</v>
      </c>
    </row>
    <row r="11" spans="1:12" x14ac:dyDescent="0.25">
      <c r="A11" s="34" t="s">
        <v>14</v>
      </c>
      <c r="C11" s="33" t="s">
        <v>3</v>
      </c>
      <c r="E11" s="1" t="s">
        <v>0</v>
      </c>
      <c r="F11" s="2" t="s">
        <v>3</v>
      </c>
      <c r="H11" s="33" t="s">
        <v>5</v>
      </c>
      <c r="K11" s="33" t="s">
        <v>1</v>
      </c>
      <c r="L11" s="33" t="s">
        <v>1</v>
      </c>
    </row>
    <row r="12" spans="1:12" x14ac:dyDescent="0.25">
      <c r="C12" s="34" t="s">
        <v>841</v>
      </c>
      <c r="E12" s="4" t="s">
        <v>9</v>
      </c>
      <c r="F12" s="5">
        <v>9.5</v>
      </c>
      <c r="H12" s="34" t="s">
        <v>842</v>
      </c>
      <c r="K12" s="34" t="s">
        <v>843</v>
      </c>
      <c r="L12" s="34" t="s">
        <v>844</v>
      </c>
    </row>
    <row r="13" spans="1:12" x14ac:dyDescent="0.25">
      <c r="A13" s="1" t="s">
        <v>0</v>
      </c>
      <c r="C13" s="8"/>
      <c r="E13" s="4" t="s">
        <v>375</v>
      </c>
      <c r="F13" s="5">
        <v>9.5</v>
      </c>
    </row>
    <row r="14" spans="1:12" x14ac:dyDescent="0.25">
      <c r="A14" s="4" t="s">
        <v>9</v>
      </c>
      <c r="C14" s="1" t="s">
        <v>0</v>
      </c>
      <c r="E14" s="7" t="s">
        <v>78</v>
      </c>
      <c r="F14" s="8">
        <v>9.4</v>
      </c>
      <c r="H14" s="1" t="s">
        <v>0</v>
      </c>
      <c r="I14" s="2" t="s">
        <v>5</v>
      </c>
      <c r="K14" s="1" t="s">
        <v>0</v>
      </c>
      <c r="L14" s="2" t="s">
        <v>1</v>
      </c>
    </row>
    <row r="15" spans="1:12" x14ac:dyDescent="0.25">
      <c r="A15" s="7" t="s">
        <v>25</v>
      </c>
      <c r="C15" s="4" t="s">
        <v>9</v>
      </c>
      <c r="E15" s="4" t="s">
        <v>37</v>
      </c>
      <c r="F15" s="5">
        <v>9.4</v>
      </c>
      <c r="H15" s="7" t="s">
        <v>25</v>
      </c>
      <c r="I15" s="8" t="s">
        <v>27</v>
      </c>
      <c r="K15" s="7" t="s">
        <v>15</v>
      </c>
      <c r="L15" s="8">
        <v>2011</v>
      </c>
    </row>
    <row r="16" spans="1:12" x14ac:dyDescent="0.25">
      <c r="A16" s="7" t="s">
        <v>35</v>
      </c>
      <c r="C16" s="7" t="s">
        <v>15</v>
      </c>
      <c r="E16" s="7" t="s">
        <v>15</v>
      </c>
      <c r="F16" s="8">
        <v>9.3000000000000007</v>
      </c>
      <c r="H16" s="4" t="s">
        <v>37</v>
      </c>
      <c r="I16" s="5" t="s">
        <v>38</v>
      </c>
      <c r="K16" s="4" t="s">
        <v>20</v>
      </c>
      <c r="L16" s="5">
        <v>2013</v>
      </c>
    </row>
    <row r="17" spans="1:12" x14ac:dyDescent="0.25">
      <c r="A17" s="7" t="s">
        <v>41</v>
      </c>
      <c r="C17" s="4" t="s">
        <v>20</v>
      </c>
      <c r="E17" s="7" t="s">
        <v>66</v>
      </c>
      <c r="F17" s="8">
        <v>9.3000000000000007</v>
      </c>
      <c r="H17" s="4" t="s">
        <v>62</v>
      </c>
      <c r="I17" s="5" t="s">
        <v>27</v>
      </c>
      <c r="K17" s="7" t="s">
        <v>25</v>
      </c>
      <c r="L17" s="8">
        <v>2016</v>
      </c>
    </row>
    <row r="18" spans="1:12" x14ac:dyDescent="0.25">
      <c r="A18" s="7" t="s">
        <v>47</v>
      </c>
      <c r="C18" s="7" t="s">
        <v>25</v>
      </c>
      <c r="E18" s="7" t="s">
        <v>47</v>
      </c>
      <c r="F18" s="8">
        <v>9.1999999999999993</v>
      </c>
      <c r="H18" s="4" t="s">
        <v>75</v>
      </c>
      <c r="I18" s="5" t="s">
        <v>76</v>
      </c>
      <c r="K18" s="4" t="s">
        <v>30</v>
      </c>
      <c r="L18" s="5">
        <v>2019</v>
      </c>
    </row>
    <row r="19" spans="1:12" x14ac:dyDescent="0.25">
      <c r="A19" s="7" t="s">
        <v>57</v>
      </c>
      <c r="C19" s="4" t="s">
        <v>30</v>
      </c>
      <c r="E19" s="4" t="s">
        <v>20</v>
      </c>
      <c r="F19" s="5">
        <v>9.1999999999999993</v>
      </c>
      <c r="H19" s="4" t="s">
        <v>81</v>
      </c>
      <c r="I19" s="5" t="s">
        <v>82</v>
      </c>
      <c r="K19" s="7" t="s">
        <v>35</v>
      </c>
      <c r="L19" s="8">
        <v>2017</v>
      </c>
    </row>
    <row r="20" spans="1:12" x14ac:dyDescent="0.25">
      <c r="A20" s="4" t="s">
        <v>68</v>
      </c>
      <c r="C20" s="7" t="s">
        <v>35</v>
      </c>
      <c r="E20" s="4" t="s">
        <v>178</v>
      </c>
      <c r="F20" s="5">
        <v>9.1999999999999993</v>
      </c>
      <c r="H20" s="7" t="s">
        <v>91</v>
      </c>
      <c r="I20" s="8" t="s">
        <v>92</v>
      </c>
      <c r="K20" s="4" t="s">
        <v>37</v>
      </c>
      <c r="L20" s="5">
        <v>2019</v>
      </c>
    </row>
    <row r="21" spans="1:12" x14ac:dyDescent="0.25">
      <c r="A21" s="4" t="s">
        <v>75</v>
      </c>
      <c r="C21" s="4" t="s">
        <v>37</v>
      </c>
      <c r="E21" s="4" t="s">
        <v>109</v>
      </c>
      <c r="F21" s="5">
        <v>9.1999999999999993</v>
      </c>
      <c r="H21" s="7" t="s">
        <v>117</v>
      </c>
      <c r="I21" s="8" t="s">
        <v>118</v>
      </c>
      <c r="K21" s="7" t="s">
        <v>41</v>
      </c>
      <c r="L21" s="8">
        <v>2010</v>
      </c>
    </row>
    <row r="22" spans="1:12" x14ac:dyDescent="0.25">
      <c r="A22" s="7" t="s">
        <v>85</v>
      </c>
      <c r="C22" s="7" t="s">
        <v>41</v>
      </c>
      <c r="E22" s="4" t="s">
        <v>202</v>
      </c>
      <c r="F22" s="5">
        <v>9.1</v>
      </c>
      <c r="H22" s="4" t="s">
        <v>139</v>
      </c>
      <c r="I22" s="5" t="s">
        <v>76</v>
      </c>
      <c r="K22" s="4" t="s">
        <v>44</v>
      </c>
      <c r="L22" s="5">
        <v>2014</v>
      </c>
    </row>
    <row r="23" spans="1:12" x14ac:dyDescent="0.25">
      <c r="A23" s="4" t="s">
        <v>88</v>
      </c>
      <c r="C23" s="4" t="s">
        <v>44</v>
      </c>
      <c r="E23" s="7" t="s">
        <v>41</v>
      </c>
      <c r="F23" s="8">
        <v>9.1</v>
      </c>
      <c r="H23" s="4" t="s">
        <v>151</v>
      </c>
      <c r="I23" s="5" t="s">
        <v>152</v>
      </c>
      <c r="K23" s="4" t="s">
        <v>68</v>
      </c>
      <c r="L23" s="5">
        <v>2015</v>
      </c>
    </row>
    <row r="24" spans="1:12" x14ac:dyDescent="0.25">
      <c r="A24" s="4" t="s">
        <v>95</v>
      </c>
      <c r="C24" s="7" t="s">
        <v>47</v>
      </c>
      <c r="E24" s="7" t="s">
        <v>341</v>
      </c>
      <c r="F24" s="8">
        <v>9</v>
      </c>
      <c r="H24" s="4" t="s">
        <v>157</v>
      </c>
      <c r="I24" s="5" t="s">
        <v>76</v>
      </c>
      <c r="K24" s="7" t="s">
        <v>71</v>
      </c>
      <c r="L24" s="8">
        <v>2013</v>
      </c>
    </row>
    <row r="25" spans="1:12" x14ac:dyDescent="0.25">
      <c r="A25" s="7" t="s">
        <v>112</v>
      </c>
      <c r="C25" s="4" t="s">
        <v>52</v>
      </c>
      <c r="E25" s="4" t="s">
        <v>157</v>
      </c>
      <c r="F25" s="5">
        <v>9</v>
      </c>
      <c r="H25" s="7" t="s">
        <v>174</v>
      </c>
      <c r="I25" s="8" t="s">
        <v>175</v>
      </c>
      <c r="K25" s="4" t="s">
        <v>75</v>
      </c>
      <c r="L25" s="5">
        <v>2011</v>
      </c>
    </row>
    <row r="26" spans="1:12" x14ac:dyDescent="0.25">
      <c r="A26" s="7" t="s">
        <v>117</v>
      </c>
      <c r="C26" s="7" t="s">
        <v>57</v>
      </c>
      <c r="E26" s="4" t="s">
        <v>411</v>
      </c>
      <c r="F26" s="5">
        <v>9</v>
      </c>
      <c r="H26" s="7" t="s">
        <v>187</v>
      </c>
      <c r="I26" s="8" t="s">
        <v>118</v>
      </c>
      <c r="K26" s="7" t="s">
        <v>85</v>
      </c>
      <c r="L26" s="8">
        <v>2016</v>
      </c>
    </row>
    <row r="27" spans="1:12" x14ac:dyDescent="0.25">
      <c r="A27" s="4" t="s">
        <v>129</v>
      </c>
      <c r="C27" s="7" t="s">
        <v>66</v>
      </c>
      <c r="E27" s="7" t="s">
        <v>141</v>
      </c>
      <c r="F27" s="8">
        <v>9</v>
      </c>
      <c r="H27" s="7" t="s">
        <v>205</v>
      </c>
      <c r="I27" s="8" t="s">
        <v>206</v>
      </c>
      <c r="K27" s="4" t="s">
        <v>88</v>
      </c>
      <c r="L27" s="5">
        <v>2017</v>
      </c>
    </row>
    <row r="28" spans="1:12" x14ac:dyDescent="0.25">
      <c r="A28" s="7" t="s">
        <v>132</v>
      </c>
      <c r="C28" s="4" t="s">
        <v>68</v>
      </c>
      <c r="E28" s="4" t="s">
        <v>44</v>
      </c>
      <c r="F28" s="5">
        <v>8.9</v>
      </c>
      <c r="H28" s="4" t="s">
        <v>208</v>
      </c>
      <c r="I28" s="5" t="s">
        <v>92</v>
      </c>
      <c r="K28" s="7" t="s">
        <v>91</v>
      </c>
      <c r="L28" s="8">
        <v>2015</v>
      </c>
    </row>
    <row r="29" spans="1:12" x14ac:dyDescent="0.25">
      <c r="A29" s="7" t="s">
        <v>137</v>
      </c>
      <c r="C29" s="7" t="s">
        <v>71</v>
      </c>
      <c r="E29" s="4" t="s">
        <v>52</v>
      </c>
      <c r="F29" s="5">
        <v>8.9</v>
      </c>
      <c r="H29" s="4" t="s">
        <v>214</v>
      </c>
      <c r="I29" s="5" t="s">
        <v>76</v>
      </c>
      <c r="K29" s="4" t="s">
        <v>95</v>
      </c>
      <c r="L29" s="5">
        <v>2013</v>
      </c>
    </row>
    <row r="30" spans="1:12" x14ac:dyDescent="0.25">
      <c r="A30" s="7" t="s">
        <v>155</v>
      </c>
      <c r="C30" s="4" t="s">
        <v>75</v>
      </c>
      <c r="E30" s="7" t="s">
        <v>265</v>
      </c>
      <c r="F30" s="8">
        <v>8.9</v>
      </c>
      <c r="H30" s="7" t="s">
        <v>221</v>
      </c>
      <c r="I30" s="8" t="s">
        <v>206</v>
      </c>
      <c r="K30" s="7" t="s">
        <v>98</v>
      </c>
      <c r="L30" s="8">
        <v>2018</v>
      </c>
    </row>
    <row r="31" spans="1:12" x14ac:dyDescent="0.25">
      <c r="A31" s="4" t="s">
        <v>162</v>
      </c>
      <c r="C31" s="7" t="s">
        <v>78</v>
      </c>
      <c r="E31" s="7" t="s">
        <v>279</v>
      </c>
      <c r="F31" s="8">
        <v>8.9</v>
      </c>
      <c r="H31" s="4" t="s">
        <v>224</v>
      </c>
      <c r="I31" s="5" t="s">
        <v>225</v>
      </c>
      <c r="K31" s="7" t="s">
        <v>105</v>
      </c>
      <c r="L31" s="8">
        <v>2019</v>
      </c>
    </row>
    <row r="32" spans="1:12" x14ac:dyDescent="0.25">
      <c r="A32" s="4" t="s">
        <v>178</v>
      </c>
      <c r="C32" s="4" t="s">
        <v>81</v>
      </c>
      <c r="E32" s="7" t="s">
        <v>57</v>
      </c>
      <c r="F32" s="8">
        <v>8.9</v>
      </c>
      <c r="H32" s="4" t="s">
        <v>231</v>
      </c>
      <c r="I32" s="5" t="s">
        <v>232</v>
      </c>
      <c r="K32" s="7" t="s">
        <v>112</v>
      </c>
      <c r="L32" s="8">
        <v>2019</v>
      </c>
    </row>
    <row r="33" spans="1:12" x14ac:dyDescent="0.25">
      <c r="A33" s="7" t="s">
        <v>187</v>
      </c>
      <c r="C33" s="4" t="s">
        <v>95</v>
      </c>
      <c r="E33" s="4" t="s">
        <v>245</v>
      </c>
      <c r="F33" s="5">
        <v>8.9</v>
      </c>
      <c r="H33" s="7" t="s">
        <v>234</v>
      </c>
      <c r="I33" s="8" t="s">
        <v>76</v>
      </c>
      <c r="K33" s="4" t="s">
        <v>114</v>
      </c>
      <c r="L33" s="5">
        <v>2013</v>
      </c>
    </row>
    <row r="34" spans="1:12" x14ac:dyDescent="0.25">
      <c r="A34" s="4" t="s">
        <v>191</v>
      </c>
      <c r="C34" s="7" t="s">
        <v>98</v>
      </c>
      <c r="E34" s="7" t="s">
        <v>71</v>
      </c>
      <c r="F34" s="8">
        <v>8.8000000000000007</v>
      </c>
      <c r="H34" s="4" t="s">
        <v>240</v>
      </c>
      <c r="I34" s="5" t="s">
        <v>38</v>
      </c>
      <c r="K34" s="7" t="s">
        <v>117</v>
      </c>
      <c r="L34" s="8">
        <v>2010</v>
      </c>
    </row>
    <row r="35" spans="1:12" x14ac:dyDescent="0.25">
      <c r="A35" s="7" t="s">
        <v>193</v>
      </c>
      <c r="C35" s="4" t="s">
        <v>101</v>
      </c>
      <c r="E35" s="4" t="s">
        <v>75</v>
      </c>
      <c r="F35" s="5">
        <v>8.8000000000000007</v>
      </c>
      <c r="H35" s="7" t="s">
        <v>242</v>
      </c>
      <c r="I35" s="8" t="s">
        <v>27</v>
      </c>
      <c r="K35" s="7" t="s">
        <v>125</v>
      </c>
      <c r="L35" s="8">
        <v>2013</v>
      </c>
    </row>
    <row r="36" spans="1:12" x14ac:dyDescent="0.25">
      <c r="A36" s="7" t="s">
        <v>199</v>
      </c>
      <c r="C36" s="7" t="s">
        <v>105</v>
      </c>
      <c r="E36" s="7" t="s">
        <v>98</v>
      </c>
      <c r="F36" s="8">
        <v>8.8000000000000007</v>
      </c>
      <c r="H36" s="7" t="s">
        <v>254</v>
      </c>
      <c r="I36" s="8" t="s">
        <v>27</v>
      </c>
      <c r="K36" s="4" t="s">
        <v>129</v>
      </c>
      <c r="L36" s="5">
        <v>2019</v>
      </c>
    </row>
    <row r="37" spans="1:12" x14ac:dyDescent="0.25">
      <c r="A37" s="7" t="s">
        <v>205</v>
      </c>
      <c r="C37" s="4" t="s">
        <v>109</v>
      </c>
      <c r="E37" s="7" t="s">
        <v>35</v>
      </c>
      <c r="F37" s="8">
        <v>8.8000000000000007</v>
      </c>
      <c r="H37" s="4" t="s">
        <v>256</v>
      </c>
      <c r="I37" s="5" t="s">
        <v>206</v>
      </c>
      <c r="K37" s="7" t="s">
        <v>132</v>
      </c>
      <c r="L37" s="8">
        <v>2017</v>
      </c>
    </row>
    <row r="38" spans="1:12" x14ac:dyDescent="0.25">
      <c r="A38" s="4" t="s">
        <v>231</v>
      </c>
      <c r="C38" s="7" t="s">
        <v>132</v>
      </c>
      <c r="E38" s="4" t="s">
        <v>183</v>
      </c>
      <c r="F38" s="5">
        <v>8.8000000000000007</v>
      </c>
      <c r="H38" s="4" t="s">
        <v>282</v>
      </c>
      <c r="I38" s="5" t="s">
        <v>206</v>
      </c>
      <c r="K38" s="7" t="s">
        <v>137</v>
      </c>
      <c r="L38" s="8">
        <v>2015</v>
      </c>
    </row>
    <row r="39" spans="1:12" x14ac:dyDescent="0.25">
      <c r="A39" s="4" t="s">
        <v>240</v>
      </c>
      <c r="C39" s="4" t="s">
        <v>134</v>
      </c>
      <c r="E39" s="7" t="s">
        <v>137</v>
      </c>
      <c r="F39" s="8">
        <v>8.8000000000000007</v>
      </c>
      <c r="H39" s="4" t="s">
        <v>287</v>
      </c>
      <c r="I39" s="5" t="s">
        <v>288</v>
      </c>
      <c r="K39" s="4" t="s">
        <v>139</v>
      </c>
      <c r="L39" s="5">
        <v>2016</v>
      </c>
    </row>
    <row r="40" spans="1:12" x14ac:dyDescent="0.25">
      <c r="A40" s="7" t="s">
        <v>242</v>
      </c>
      <c r="C40" s="7" t="s">
        <v>137</v>
      </c>
      <c r="E40" s="4" t="s">
        <v>95</v>
      </c>
      <c r="F40" s="5">
        <v>8.8000000000000007</v>
      </c>
      <c r="H40" s="4" t="s">
        <v>293</v>
      </c>
      <c r="I40" s="5" t="s">
        <v>294</v>
      </c>
      <c r="K40" s="7" t="s">
        <v>141</v>
      </c>
      <c r="L40" s="8">
        <v>2014</v>
      </c>
    </row>
    <row r="41" spans="1:12" x14ac:dyDescent="0.25">
      <c r="A41" s="4" t="s">
        <v>268</v>
      </c>
      <c r="C41" s="4" t="s">
        <v>139</v>
      </c>
      <c r="E41" s="7" t="s">
        <v>367</v>
      </c>
      <c r="F41" s="8">
        <v>8.8000000000000007</v>
      </c>
      <c r="H41" s="7" t="s">
        <v>296</v>
      </c>
      <c r="I41" s="8" t="s">
        <v>76</v>
      </c>
      <c r="K41" s="7" t="s">
        <v>155</v>
      </c>
      <c r="L41" s="8">
        <v>2015</v>
      </c>
    </row>
    <row r="42" spans="1:12" x14ac:dyDescent="0.25">
      <c r="A42" s="4" t="s">
        <v>282</v>
      </c>
      <c r="C42" s="7" t="s">
        <v>141</v>
      </c>
      <c r="E42" s="4" t="s">
        <v>195</v>
      </c>
      <c r="F42" s="5">
        <v>8.8000000000000007</v>
      </c>
      <c r="H42" s="4" t="s">
        <v>299</v>
      </c>
      <c r="I42" s="5" t="s">
        <v>206</v>
      </c>
      <c r="K42" s="4" t="s">
        <v>162</v>
      </c>
      <c r="L42" s="5">
        <v>2011</v>
      </c>
    </row>
    <row r="43" spans="1:12" x14ac:dyDescent="0.25">
      <c r="A43" s="7" t="s">
        <v>285</v>
      </c>
      <c r="C43" s="4" t="s">
        <v>143</v>
      </c>
      <c r="E43" s="7" t="s">
        <v>25</v>
      </c>
      <c r="F43" s="8">
        <v>8.8000000000000007</v>
      </c>
      <c r="H43" s="4" t="s">
        <v>303</v>
      </c>
      <c r="I43" s="5" t="s">
        <v>304</v>
      </c>
      <c r="K43" s="7" t="s">
        <v>174</v>
      </c>
      <c r="L43" s="8">
        <v>2011</v>
      </c>
    </row>
    <row r="44" spans="1:12" x14ac:dyDescent="0.25">
      <c r="A44" s="7" t="s">
        <v>312</v>
      </c>
      <c r="C44" s="7" t="s">
        <v>146</v>
      </c>
      <c r="E44" s="7" t="s">
        <v>393</v>
      </c>
      <c r="F44" s="8">
        <v>8.8000000000000007</v>
      </c>
      <c r="H44" s="7" t="s">
        <v>306</v>
      </c>
      <c r="I44" s="8" t="s">
        <v>175</v>
      </c>
      <c r="K44" s="4" t="s">
        <v>178</v>
      </c>
      <c r="L44" s="5">
        <v>2020</v>
      </c>
    </row>
    <row r="45" spans="1:12" x14ac:dyDescent="0.25">
      <c r="A45" s="7" t="s">
        <v>316</v>
      </c>
      <c r="C45" s="4" t="s">
        <v>151</v>
      </c>
      <c r="E45" s="7" t="s">
        <v>187</v>
      </c>
      <c r="F45" s="8">
        <v>8.8000000000000007</v>
      </c>
      <c r="H45" s="4" t="s">
        <v>344</v>
      </c>
      <c r="I45" s="5" t="s">
        <v>294</v>
      </c>
      <c r="K45" s="4" t="s">
        <v>191</v>
      </c>
      <c r="L45" s="5">
        <v>2013</v>
      </c>
    </row>
    <row r="46" spans="1:12" x14ac:dyDescent="0.25">
      <c r="A46" s="7" t="s">
        <v>326</v>
      </c>
      <c r="C46" s="7" t="s">
        <v>155</v>
      </c>
      <c r="E46" s="4" t="s">
        <v>268</v>
      </c>
      <c r="F46" s="5">
        <v>8.6999999999999993</v>
      </c>
      <c r="H46" s="7" t="s">
        <v>346</v>
      </c>
      <c r="I46" s="8" t="s">
        <v>175</v>
      </c>
      <c r="K46" s="7" t="s">
        <v>193</v>
      </c>
      <c r="L46" s="8">
        <v>2017</v>
      </c>
    </row>
    <row r="47" spans="1:12" x14ac:dyDescent="0.25">
      <c r="A47" s="4" t="s">
        <v>329</v>
      </c>
      <c r="C47" s="4" t="s">
        <v>157</v>
      </c>
      <c r="E47" s="4" t="s">
        <v>68</v>
      </c>
      <c r="F47" s="5">
        <v>8.6999999999999993</v>
      </c>
      <c r="H47" s="7" t="s">
        <v>352</v>
      </c>
      <c r="I47" s="8" t="s">
        <v>225</v>
      </c>
      <c r="K47" s="7" t="s">
        <v>199</v>
      </c>
      <c r="L47" s="8">
        <v>2018</v>
      </c>
    </row>
    <row r="48" spans="1:12" x14ac:dyDescent="0.25">
      <c r="A48" s="7" t="s">
        <v>336</v>
      </c>
      <c r="C48" s="4" t="s">
        <v>162</v>
      </c>
      <c r="E48" s="7" t="s">
        <v>312</v>
      </c>
      <c r="F48" s="8">
        <v>8.6999999999999993</v>
      </c>
      <c r="H48" s="4" t="s">
        <v>360</v>
      </c>
      <c r="I48" s="5" t="s">
        <v>27</v>
      </c>
      <c r="K48" s="7" t="s">
        <v>205</v>
      </c>
      <c r="L48" s="8">
        <v>2019</v>
      </c>
    </row>
    <row r="49" spans="1:12" x14ac:dyDescent="0.25">
      <c r="A49" s="4" t="s">
        <v>344</v>
      </c>
      <c r="C49" s="4" t="s">
        <v>178</v>
      </c>
      <c r="E49" s="4" t="s">
        <v>323</v>
      </c>
      <c r="F49" s="5">
        <v>8.6999999999999993</v>
      </c>
      <c r="H49" s="7" t="s">
        <v>367</v>
      </c>
      <c r="I49" s="8" t="s">
        <v>225</v>
      </c>
      <c r="K49" s="4" t="s">
        <v>208</v>
      </c>
      <c r="L49" s="5">
        <v>2013</v>
      </c>
    </row>
    <row r="50" spans="1:12" x14ac:dyDescent="0.25">
      <c r="A50" s="4" t="s">
        <v>349</v>
      </c>
      <c r="C50" s="4" t="s">
        <v>183</v>
      </c>
      <c r="E50" s="7" t="s">
        <v>238</v>
      </c>
      <c r="F50" s="8">
        <v>8.6999999999999993</v>
      </c>
      <c r="H50" s="4" t="s">
        <v>371</v>
      </c>
      <c r="I50" s="5" t="s">
        <v>206</v>
      </c>
      <c r="K50" s="7" t="s">
        <v>211</v>
      </c>
      <c r="L50" s="8">
        <v>2011</v>
      </c>
    </row>
    <row r="51" spans="1:12" x14ac:dyDescent="0.25">
      <c r="A51" s="4" t="s">
        <v>360</v>
      </c>
      <c r="C51" s="7" t="s">
        <v>187</v>
      </c>
      <c r="E51" s="4" t="s">
        <v>81</v>
      </c>
      <c r="F51" s="5">
        <v>8.6999999999999993</v>
      </c>
      <c r="H51" s="7" t="s">
        <v>384</v>
      </c>
      <c r="I51" s="8" t="s">
        <v>304</v>
      </c>
      <c r="K51" s="4" t="s">
        <v>214</v>
      </c>
      <c r="L51" s="5">
        <v>2014</v>
      </c>
    </row>
    <row r="52" spans="1:12" x14ac:dyDescent="0.25">
      <c r="A52" s="7" t="s">
        <v>362</v>
      </c>
      <c r="C52" s="4" t="s">
        <v>195</v>
      </c>
      <c r="E52" s="4" t="s">
        <v>231</v>
      </c>
      <c r="F52" s="5">
        <v>8.6999999999999993</v>
      </c>
      <c r="H52" s="4" t="s">
        <v>390</v>
      </c>
      <c r="I52" s="5" t="s">
        <v>391</v>
      </c>
      <c r="K52" s="4" t="s">
        <v>219</v>
      </c>
      <c r="L52" s="5">
        <v>2016</v>
      </c>
    </row>
    <row r="53" spans="1:12" x14ac:dyDescent="0.25">
      <c r="A53" s="4" t="s">
        <v>365</v>
      </c>
      <c r="C53" s="7" t="s">
        <v>199</v>
      </c>
      <c r="E53" s="7" t="s">
        <v>426</v>
      </c>
      <c r="F53" s="8">
        <v>8.6999999999999993</v>
      </c>
      <c r="H53" s="7" t="s">
        <v>393</v>
      </c>
      <c r="I53" s="8" t="s">
        <v>394</v>
      </c>
      <c r="K53" s="7" t="s">
        <v>221</v>
      </c>
      <c r="L53" s="8">
        <v>2015</v>
      </c>
    </row>
    <row r="54" spans="1:12" x14ac:dyDescent="0.25">
      <c r="A54" s="7" t="s">
        <v>393</v>
      </c>
      <c r="C54" s="4" t="s">
        <v>202</v>
      </c>
      <c r="E54" s="4" t="s">
        <v>339</v>
      </c>
      <c r="F54" s="5">
        <v>8.6999999999999993</v>
      </c>
      <c r="H54" s="7" t="s">
        <v>415</v>
      </c>
      <c r="I54" s="8" t="s">
        <v>92</v>
      </c>
      <c r="K54" s="7" t="s">
        <v>228</v>
      </c>
      <c r="L54" s="8">
        <v>2016</v>
      </c>
    </row>
    <row r="55" spans="1:12" x14ac:dyDescent="0.25">
      <c r="A55" s="4" t="s">
        <v>396</v>
      </c>
      <c r="C55" s="4" t="s">
        <v>231</v>
      </c>
      <c r="E55" s="4" t="s">
        <v>282</v>
      </c>
      <c r="F55" s="5">
        <v>8.6999999999999993</v>
      </c>
      <c r="H55" s="4" t="s">
        <v>434</v>
      </c>
      <c r="I55" s="5" t="s">
        <v>232</v>
      </c>
      <c r="K55" s="4" t="s">
        <v>231</v>
      </c>
      <c r="L55" s="5">
        <v>2013</v>
      </c>
    </row>
    <row r="56" spans="1:12" x14ac:dyDescent="0.25">
      <c r="A56" s="4" t="s">
        <v>407</v>
      </c>
      <c r="C56" s="7" t="s">
        <v>238</v>
      </c>
      <c r="E56" s="7" t="s">
        <v>346</v>
      </c>
      <c r="F56" s="8">
        <v>8.6999999999999993</v>
      </c>
      <c r="H56" s="7" t="s">
        <v>437</v>
      </c>
      <c r="I56" s="8" t="s">
        <v>288</v>
      </c>
      <c r="K56" s="7" t="s">
        <v>234</v>
      </c>
      <c r="L56" s="8">
        <v>2017</v>
      </c>
    </row>
    <row r="57" spans="1:12" x14ac:dyDescent="0.25">
      <c r="A57" s="7" t="s">
        <v>409</v>
      </c>
      <c r="C57" s="4" t="s">
        <v>240</v>
      </c>
      <c r="E57" s="4" t="s">
        <v>143</v>
      </c>
      <c r="F57" s="5">
        <v>8.6999999999999993</v>
      </c>
      <c r="H57" s="7" t="s">
        <v>441</v>
      </c>
      <c r="I57" s="8" t="s">
        <v>304</v>
      </c>
      <c r="K57" s="4" t="s">
        <v>236</v>
      </c>
      <c r="L57" s="5">
        <v>2013</v>
      </c>
    </row>
    <row r="58" spans="1:12" x14ac:dyDescent="0.25">
      <c r="A58" s="4" t="s">
        <v>411</v>
      </c>
      <c r="C58" s="4" t="s">
        <v>245</v>
      </c>
      <c r="E58" s="4" t="s">
        <v>30</v>
      </c>
      <c r="F58" s="5">
        <v>8.6999999999999993</v>
      </c>
      <c r="H58" s="4" t="s">
        <v>443</v>
      </c>
      <c r="I58" s="5" t="s">
        <v>82</v>
      </c>
      <c r="K58" s="7" t="s">
        <v>238</v>
      </c>
      <c r="L58" s="8">
        <v>2016</v>
      </c>
    </row>
    <row r="59" spans="1:12" x14ac:dyDescent="0.25">
      <c r="A59" s="7" t="s">
        <v>420</v>
      </c>
      <c r="C59" s="4" t="s">
        <v>252</v>
      </c>
      <c r="E59" s="4" t="s">
        <v>240</v>
      </c>
      <c r="F59" s="5">
        <v>8.6999999999999993</v>
      </c>
      <c r="H59" s="7" t="s">
        <v>445</v>
      </c>
      <c r="I59" s="8" t="s">
        <v>27</v>
      </c>
      <c r="K59" s="4" t="s">
        <v>240</v>
      </c>
      <c r="L59" s="5">
        <v>2016</v>
      </c>
    </row>
    <row r="60" spans="1:12" x14ac:dyDescent="0.25">
      <c r="A60" s="4" t="s">
        <v>429</v>
      </c>
      <c r="C60" s="4" t="s">
        <v>261</v>
      </c>
      <c r="E60" s="7" t="s">
        <v>199</v>
      </c>
      <c r="F60" s="8">
        <v>8.6999999999999993</v>
      </c>
      <c r="H60" s="7" t="s">
        <v>460</v>
      </c>
      <c r="I60" s="8" t="s">
        <v>27</v>
      </c>
      <c r="K60" s="7" t="s">
        <v>242</v>
      </c>
      <c r="L60" s="8">
        <v>2014</v>
      </c>
    </row>
    <row r="61" spans="1:12" x14ac:dyDescent="0.25">
      <c r="A61" s="7" t="s">
        <v>432</v>
      </c>
      <c r="C61" s="7" t="s">
        <v>265</v>
      </c>
      <c r="E61" s="7" t="s">
        <v>105</v>
      </c>
      <c r="F61" s="8">
        <v>8.6999999999999993</v>
      </c>
      <c r="H61" s="4" t="s">
        <v>469</v>
      </c>
      <c r="I61" s="5" t="s">
        <v>304</v>
      </c>
      <c r="K61" s="4" t="s">
        <v>245</v>
      </c>
      <c r="L61" s="5">
        <v>2019</v>
      </c>
    </row>
    <row r="62" spans="1:12" x14ac:dyDescent="0.25">
      <c r="A62" s="7" t="s">
        <v>456</v>
      </c>
      <c r="C62" s="4" t="s">
        <v>268</v>
      </c>
      <c r="E62" s="4" t="s">
        <v>314</v>
      </c>
      <c r="F62" s="5">
        <v>8.6999999999999993</v>
      </c>
      <c r="H62" s="4" t="s">
        <v>474</v>
      </c>
      <c r="I62" s="5" t="s">
        <v>76</v>
      </c>
      <c r="K62" s="7" t="s">
        <v>258</v>
      </c>
      <c r="L62" s="8">
        <v>2012</v>
      </c>
    </row>
    <row r="63" spans="1:12" x14ac:dyDescent="0.25">
      <c r="A63" s="4" t="s">
        <v>458</v>
      </c>
      <c r="C63" s="7" t="s">
        <v>279</v>
      </c>
      <c r="E63" s="4" t="s">
        <v>424</v>
      </c>
      <c r="F63" s="5">
        <v>8.6999999999999993</v>
      </c>
      <c r="H63" s="4" t="s">
        <v>495</v>
      </c>
      <c r="I63" s="5" t="s">
        <v>175</v>
      </c>
      <c r="K63" s="7" t="s">
        <v>265</v>
      </c>
      <c r="L63" s="8">
        <v>2012</v>
      </c>
    </row>
    <row r="64" spans="1:12" x14ac:dyDescent="0.25">
      <c r="A64" s="4" t="s">
        <v>469</v>
      </c>
      <c r="C64" s="4" t="s">
        <v>282</v>
      </c>
      <c r="E64" s="4" t="s">
        <v>101</v>
      </c>
      <c r="F64" s="5">
        <v>8.6999999999999993</v>
      </c>
      <c r="H64" s="4" t="s">
        <v>509</v>
      </c>
      <c r="I64" s="5" t="s">
        <v>38</v>
      </c>
      <c r="K64" s="7" t="s">
        <v>272</v>
      </c>
      <c r="L64" s="8">
        <v>2013</v>
      </c>
    </row>
    <row r="65" spans="1:12" x14ac:dyDescent="0.25">
      <c r="A65" s="7" t="s">
        <v>488</v>
      </c>
      <c r="C65" s="7" t="s">
        <v>296</v>
      </c>
      <c r="E65" s="7" t="s">
        <v>306</v>
      </c>
      <c r="F65" s="8">
        <v>8.6999999999999993</v>
      </c>
      <c r="H65" s="4" t="s">
        <v>514</v>
      </c>
      <c r="I65" s="5" t="s">
        <v>515</v>
      </c>
      <c r="K65" s="4" t="s">
        <v>275</v>
      </c>
      <c r="L65" s="5">
        <v>2018</v>
      </c>
    </row>
    <row r="66" spans="1:12" x14ac:dyDescent="0.25">
      <c r="A66" s="7" t="s">
        <v>492</v>
      </c>
      <c r="C66" s="7" t="s">
        <v>301</v>
      </c>
      <c r="E66" s="4" t="s">
        <v>139</v>
      </c>
      <c r="F66" s="5">
        <v>8.6999999999999993</v>
      </c>
      <c r="H66" s="7" t="s">
        <v>521</v>
      </c>
      <c r="I66" s="8" t="s">
        <v>82</v>
      </c>
      <c r="K66" s="7" t="s">
        <v>279</v>
      </c>
      <c r="L66" s="8">
        <v>2014</v>
      </c>
    </row>
    <row r="67" spans="1:12" x14ac:dyDescent="0.25">
      <c r="A67" s="7" t="s">
        <v>502</v>
      </c>
      <c r="C67" s="7" t="s">
        <v>306</v>
      </c>
      <c r="E67" s="4" t="s">
        <v>309</v>
      </c>
      <c r="F67" s="5">
        <v>8.6</v>
      </c>
      <c r="H67" s="4" t="s">
        <v>523</v>
      </c>
      <c r="I67" s="5" t="s">
        <v>27</v>
      </c>
      <c r="K67" s="4" t="s">
        <v>282</v>
      </c>
      <c r="L67" s="5">
        <v>2018</v>
      </c>
    </row>
    <row r="68" spans="1:12" x14ac:dyDescent="0.25">
      <c r="A68" s="7" t="s">
        <v>511</v>
      </c>
      <c r="C68" s="4" t="s">
        <v>309</v>
      </c>
      <c r="E68" s="4" t="s">
        <v>261</v>
      </c>
      <c r="F68" s="5">
        <v>8.6</v>
      </c>
      <c r="H68" s="4" t="s">
        <v>539</v>
      </c>
      <c r="I68" s="5" t="s">
        <v>118</v>
      </c>
      <c r="K68" s="7" t="s">
        <v>285</v>
      </c>
      <c r="L68" s="8">
        <v>2013</v>
      </c>
    </row>
    <row r="69" spans="1:12" x14ac:dyDescent="0.25">
      <c r="A69" s="4" t="s">
        <v>514</v>
      </c>
      <c r="C69" s="7" t="s">
        <v>312</v>
      </c>
      <c r="E69" s="7" t="s">
        <v>441</v>
      </c>
      <c r="F69" s="8">
        <v>8.6</v>
      </c>
      <c r="H69" s="4" t="s">
        <v>409</v>
      </c>
      <c r="I69" s="5" t="s">
        <v>232</v>
      </c>
      <c r="K69" s="4" t="s">
        <v>287</v>
      </c>
      <c r="L69" s="5">
        <v>2018</v>
      </c>
    </row>
    <row r="70" spans="1:12" x14ac:dyDescent="0.25">
      <c r="A70" s="4" t="s">
        <v>528</v>
      </c>
      <c r="C70" s="4" t="s">
        <v>314</v>
      </c>
      <c r="E70" s="4" t="s">
        <v>134</v>
      </c>
      <c r="F70" s="5">
        <v>8.6</v>
      </c>
      <c r="H70" s="7" t="s">
        <v>549</v>
      </c>
      <c r="I70" s="8" t="s">
        <v>206</v>
      </c>
      <c r="K70" s="7" t="s">
        <v>291</v>
      </c>
      <c r="L70" s="8">
        <v>2014</v>
      </c>
    </row>
    <row r="71" spans="1:12" x14ac:dyDescent="0.25">
      <c r="A71" s="4" t="s">
        <v>533</v>
      </c>
      <c r="C71" s="4" t="s">
        <v>323</v>
      </c>
      <c r="E71" s="4" t="s">
        <v>434</v>
      </c>
      <c r="F71" s="5">
        <v>8.6</v>
      </c>
      <c r="H71" s="4" t="s">
        <v>576</v>
      </c>
      <c r="I71" s="5" t="s">
        <v>304</v>
      </c>
      <c r="K71" s="4" t="s">
        <v>293</v>
      </c>
      <c r="L71" s="5">
        <v>2019</v>
      </c>
    </row>
    <row r="72" spans="1:12" x14ac:dyDescent="0.25">
      <c r="A72" s="4" t="s">
        <v>539</v>
      </c>
      <c r="C72" s="4" t="s">
        <v>339</v>
      </c>
      <c r="E72" s="7" t="s">
        <v>301</v>
      </c>
      <c r="F72" s="8">
        <v>8.6</v>
      </c>
      <c r="H72" s="7" t="s">
        <v>577</v>
      </c>
      <c r="I72" s="8" t="s">
        <v>304</v>
      </c>
      <c r="K72" s="4" t="s">
        <v>299</v>
      </c>
      <c r="L72" s="5">
        <v>2014</v>
      </c>
    </row>
    <row r="73" spans="1:12" x14ac:dyDescent="0.25">
      <c r="A73" s="4" t="s">
        <v>544</v>
      </c>
      <c r="C73" s="7" t="s">
        <v>341</v>
      </c>
      <c r="E73" s="4" t="s">
        <v>151</v>
      </c>
      <c r="F73" s="5">
        <v>8.6</v>
      </c>
      <c r="H73" s="4" t="s">
        <v>582</v>
      </c>
      <c r="I73" s="5" t="s">
        <v>92</v>
      </c>
      <c r="K73" s="7" t="s">
        <v>301</v>
      </c>
      <c r="L73" s="8">
        <v>2010</v>
      </c>
    </row>
    <row r="74" spans="1:12" x14ac:dyDescent="0.25">
      <c r="A74" s="4" t="s">
        <v>409</v>
      </c>
      <c r="C74" s="7" t="s">
        <v>346</v>
      </c>
      <c r="E74" s="7" t="s">
        <v>155</v>
      </c>
      <c r="F74" s="8">
        <v>8.6</v>
      </c>
      <c r="H74" s="4" t="s">
        <v>586</v>
      </c>
      <c r="I74" s="5" t="s">
        <v>206</v>
      </c>
      <c r="K74" s="4" t="s">
        <v>303</v>
      </c>
      <c r="L74" s="5">
        <v>2013</v>
      </c>
    </row>
    <row r="75" spans="1:12" x14ac:dyDescent="0.25">
      <c r="A75" s="7" t="s">
        <v>549</v>
      </c>
      <c r="C75" s="7" t="s">
        <v>352</v>
      </c>
      <c r="E75" s="7" t="s">
        <v>132</v>
      </c>
      <c r="F75" s="8">
        <v>8.6</v>
      </c>
      <c r="H75" s="7" t="s">
        <v>587</v>
      </c>
      <c r="I75" s="8" t="s">
        <v>27</v>
      </c>
      <c r="K75" s="7" t="s">
        <v>306</v>
      </c>
      <c r="L75" s="8">
        <v>2016</v>
      </c>
    </row>
    <row r="76" spans="1:12" x14ac:dyDescent="0.25">
      <c r="A76" s="7" t="s">
        <v>564</v>
      </c>
      <c r="C76" s="7" t="s">
        <v>362</v>
      </c>
      <c r="E76" s="7" t="s">
        <v>352</v>
      </c>
      <c r="F76" s="8">
        <v>8.6</v>
      </c>
      <c r="H76" s="7" t="s">
        <v>592</v>
      </c>
      <c r="I76" s="8" t="s">
        <v>593</v>
      </c>
      <c r="K76" s="4" t="s">
        <v>309</v>
      </c>
      <c r="L76" s="5">
        <v>2010</v>
      </c>
    </row>
    <row r="77" spans="1:12" x14ac:dyDescent="0.25">
      <c r="A77" s="4" t="s">
        <v>573</v>
      </c>
      <c r="C77" s="7" t="s">
        <v>367</v>
      </c>
      <c r="E77" s="7" t="s">
        <v>146</v>
      </c>
      <c r="F77" s="8">
        <v>8.6</v>
      </c>
      <c r="H77" s="7" t="s">
        <v>595</v>
      </c>
      <c r="I77" s="8" t="s">
        <v>82</v>
      </c>
      <c r="K77" s="7" t="s">
        <v>312</v>
      </c>
      <c r="L77" s="8">
        <v>2014</v>
      </c>
    </row>
    <row r="78" spans="1:12" x14ac:dyDescent="0.25">
      <c r="A78" s="4" t="s">
        <v>578</v>
      </c>
      <c r="C78" s="4" t="s">
        <v>375</v>
      </c>
      <c r="E78" s="4" t="s">
        <v>162</v>
      </c>
      <c r="F78" s="5">
        <v>8.6</v>
      </c>
      <c r="H78" s="4" t="s">
        <v>596</v>
      </c>
      <c r="I78" s="5" t="s">
        <v>206</v>
      </c>
      <c r="K78" s="4" t="s">
        <v>314</v>
      </c>
      <c r="L78" s="5">
        <v>2017</v>
      </c>
    </row>
    <row r="79" spans="1:12" x14ac:dyDescent="0.25">
      <c r="A79" s="7" t="s">
        <v>579</v>
      </c>
      <c r="C79" s="7" t="s">
        <v>393</v>
      </c>
      <c r="E79" s="4" t="s">
        <v>252</v>
      </c>
      <c r="F79" s="5">
        <v>8.6</v>
      </c>
      <c r="H79" s="4" t="s">
        <v>598</v>
      </c>
      <c r="I79" s="5" t="s">
        <v>27</v>
      </c>
      <c r="K79" s="7" t="s">
        <v>316</v>
      </c>
      <c r="L79" s="8">
        <v>2017</v>
      </c>
    </row>
    <row r="80" spans="1:12" x14ac:dyDescent="0.25">
      <c r="A80" s="7" t="s">
        <v>581</v>
      </c>
      <c r="C80" s="4" t="s">
        <v>401</v>
      </c>
      <c r="E80" s="7" t="s">
        <v>362</v>
      </c>
      <c r="F80" s="8">
        <v>8.6</v>
      </c>
      <c r="H80" s="7" t="s">
        <v>600</v>
      </c>
      <c r="I80" s="8" t="s">
        <v>76</v>
      </c>
      <c r="K80" s="4" t="s">
        <v>318</v>
      </c>
      <c r="L80" s="5">
        <v>2017</v>
      </c>
    </row>
    <row r="81" spans="1:12" x14ac:dyDescent="0.25">
      <c r="A81" s="7" t="s">
        <v>583</v>
      </c>
      <c r="C81" s="4" t="s">
        <v>411</v>
      </c>
      <c r="E81" s="7" t="s">
        <v>437</v>
      </c>
      <c r="F81" s="8">
        <v>8.6</v>
      </c>
      <c r="H81" s="4" t="s">
        <v>601</v>
      </c>
      <c r="I81" s="5" t="s">
        <v>304</v>
      </c>
      <c r="K81" s="7" t="s">
        <v>320</v>
      </c>
      <c r="L81" s="8">
        <v>2010</v>
      </c>
    </row>
    <row r="82" spans="1:12" x14ac:dyDescent="0.25">
      <c r="A82" s="7" t="s">
        <v>587</v>
      </c>
      <c r="C82" s="4" t="s">
        <v>424</v>
      </c>
      <c r="E82" s="4" t="s">
        <v>401</v>
      </c>
      <c r="F82" s="5">
        <v>8.6</v>
      </c>
      <c r="H82" s="4" t="s">
        <v>603</v>
      </c>
      <c r="I82" s="5" t="s">
        <v>604</v>
      </c>
      <c r="K82" s="7" t="s">
        <v>326</v>
      </c>
      <c r="L82" s="8">
        <v>2016</v>
      </c>
    </row>
    <row r="83" spans="1:12" x14ac:dyDescent="0.25">
      <c r="A83" s="7" t="s">
        <v>589</v>
      </c>
      <c r="C83" s="7" t="s">
        <v>426</v>
      </c>
      <c r="E83" s="7" t="s">
        <v>296</v>
      </c>
      <c r="F83" s="8">
        <v>8.6</v>
      </c>
      <c r="H83" s="7" t="s">
        <v>608</v>
      </c>
      <c r="I83" s="8" t="s">
        <v>225</v>
      </c>
      <c r="K83" s="4" t="s">
        <v>329</v>
      </c>
      <c r="L83" s="5">
        <v>2019</v>
      </c>
    </row>
    <row r="84" spans="1:12" x14ac:dyDescent="0.25">
      <c r="A84" s="4" t="s">
        <v>591</v>
      </c>
      <c r="C84" s="4" t="s">
        <v>434</v>
      </c>
      <c r="E84" s="4" t="s">
        <v>318</v>
      </c>
      <c r="F84" s="5">
        <v>8.5</v>
      </c>
      <c r="H84" s="7" t="s">
        <v>610</v>
      </c>
      <c r="I84" s="8" t="s">
        <v>82</v>
      </c>
      <c r="K84" s="7" t="s">
        <v>331</v>
      </c>
      <c r="L84" s="8">
        <v>2010</v>
      </c>
    </row>
    <row r="85" spans="1:12" x14ac:dyDescent="0.25">
      <c r="A85" s="4" t="s">
        <v>594</v>
      </c>
      <c r="C85" s="7" t="s">
        <v>437</v>
      </c>
      <c r="E85" s="7" t="s">
        <v>331</v>
      </c>
      <c r="F85" s="8">
        <v>8.5</v>
      </c>
      <c r="H85" s="7" t="s">
        <v>611</v>
      </c>
      <c r="I85" s="8" t="s">
        <v>304</v>
      </c>
      <c r="K85" s="4" t="s">
        <v>333</v>
      </c>
      <c r="L85" s="5">
        <v>2013</v>
      </c>
    </row>
    <row r="86" spans="1:12" x14ac:dyDescent="0.25">
      <c r="A86" s="7" t="s">
        <v>597</v>
      </c>
      <c r="C86" s="7" t="s">
        <v>441</v>
      </c>
      <c r="E86" s="7" t="s">
        <v>181</v>
      </c>
      <c r="F86" s="8">
        <v>8.5</v>
      </c>
      <c r="H86" s="4" t="s">
        <v>612</v>
      </c>
      <c r="I86" s="5" t="s">
        <v>27</v>
      </c>
      <c r="K86" s="7" t="s">
        <v>336</v>
      </c>
      <c r="L86" s="8">
        <v>2015</v>
      </c>
    </row>
    <row r="87" spans="1:12" x14ac:dyDescent="0.25">
      <c r="A87" s="4" t="s">
        <v>603</v>
      </c>
      <c r="C87" s="7" t="s">
        <v>445</v>
      </c>
      <c r="E87" s="4" t="s">
        <v>191</v>
      </c>
      <c r="F87" s="5">
        <v>8.5</v>
      </c>
      <c r="H87" s="7" t="s">
        <v>613</v>
      </c>
      <c r="I87" s="8" t="s">
        <v>304</v>
      </c>
      <c r="K87" s="4" t="s">
        <v>344</v>
      </c>
      <c r="L87" s="5">
        <v>2015</v>
      </c>
    </row>
    <row r="88" spans="1:12" x14ac:dyDescent="0.25">
      <c r="A88" s="7" t="s">
        <v>605</v>
      </c>
      <c r="C88" s="7" t="s">
        <v>450</v>
      </c>
      <c r="E88" s="4" t="s">
        <v>396</v>
      </c>
      <c r="F88" s="5">
        <v>8.5</v>
      </c>
      <c r="H88" s="7" t="s">
        <v>614</v>
      </c>
      <c r="I88" s="8" t="s">
        <v>76</v>
      </c>
      <c r="K88" s="4" t="s">
        <v>349</v>
      </c>
      <c r="L88" s="5">
        <v>2014</v>
      </c>
    </row>
    <row r="89" spans="1:12" x14ac:dyDescent="0.25">
      <c r="A89" s="4" t="s">
        <v>607</v>
      </c>
      <c r="C89" s="4" t="s">
        <v>453</v>
      </c>
      <c r="E89" s="7" t="s">
        <v>320</v>
      </c>
      <c r="F89" s="8">
        <v>8.5</v>
      </c>
      <c r="H89" s="4" t="s">
        <v>615</v>
      </c>
      <c r="I89" s="5" t="s">
        <v>304</v>
      </c>
      <c r="K89" s="7" t="s">
        <v>352</v>
      </c>
      <c r="L89" s="8">
        <v>2020</v>
      </c>
    </row>
    <row r="90" spans="1:12" x14ac:dyDescent="0.25">
      <c r="A90" s="7" t="s">
        <v>614</v>
      </c>
      <c r="C90" s="7" t="s">
        <v>476</v>
      </c>
      <c r="E90" s="7" t="s">
        <v>91</v>
      </c>
      <c r="F90" s="8">
        <v>8.5</v>
      </c>
      <c r="H90" s="4" t="s">
        <v>618</v>
      </c>
      <c r="I90" s="5" t="s">
        <v>294</v>
      </c>
      <c r="K90" s="4" t="s">
        <v>360</v>
      </c>
      <c r="L90" s="5">
        <v>2011</v>
      </c>
    </row>
    <row r="91" spans="1:12" x14ac:dyDescent="0.25">
      <c r="A91" s="7" t="s">
        <v>617</v>
      </c>
      <c r="C91" s="4" t="s">
        <v>484</v>
      </c>
      <c r="E91" s="7" t="s">
        <v>228</v>
      </c>
      <c r="F91" s="8">
        <v>8.5</v>
      </c>
      <c r="H91" s="7" t="s">
        <v>621</v>
      </c>
      <c r="I91" s="8" t="s">
        <v>622</v>
      </c>
      <c r="K91" s="4" t="s">
        <v>365</v>
      </c>
      <c r="L91" s="5">
        <v>2013</v>
      </c>
    </row>
    <row r="92" spans="1:12" x14ac:dyDescent="0.25">
      <c r="A92" s="4" t="s">
        <v>618</v>
      </c>
      <c r="C92" s="7" t="s">
        <v>511</v>
      </c>
      <c r="E92" s="7" t="s">
        <v>291</v>
      </c>
      <c r="F92" s="8">
        <v>8.5</v>
      </c>
      <c r="H92" s="7" t="s">
        <v>624</v>
      </c>
      <c r="I92" s="8" t="s">
        <v>206</v>
      </c>
      <c r="K92" s="4" t="s">
        <v>371</v>
      </c>
      <c r="L92" s="5">
        <v>2012</v>
      </c>
    </row>
    <row r="93" spans="1:12" x14ac:dyDescent="0.25">
      <c r="A93" s="4" t="s">
        <v>619</v>
      </c>
      <c r="C93" s="7" t="s">
        <v>530</v>
      </c>
      <c r="E93" s="7" t="s">
        <v>174</v>
      </c>
      <c r="F93" s="8">
        <v>8.5</v>
      </c>
      <c r="H93" s="7" t="s">
        <v>626</v>
      </c>
      <c r="I93" s="8" t="s">
        <v>76</v>
      </c>
      <c r="K93" s="4" t="s">
        <v>375</v>
      </c>
      <c r="L93" s="5">
        <v>2016</v>
      </c>
    </row>
    <row r="94" spans="1:12" x14ac:dyDescent="0.25">
      <c r="A94" s="4" t="s">
        <v>620</v>
      </c>
      <c r="C94" s="4" t="s">
        <v>533</v>
      </c>
      <c r="E94" s="7" t="s">
        <v>221</v>
      </c>
      <c r="F94" s="8">
        <v>8.5</v>
      </c>
      <c r="H94" s="7" t="s">
        <v>629</v>
      </c>
      <c r="I94" s="8" t="s">
        <v>294</v>
      </c>
      <c r="K94" s="4" t="s">
        <v>381</v>
      </c>
      <c r="L94" s="5">
        <v>2019</v>
      </c>
    </row>
    <row r="95" spans="1:12" x14ac:dyDescent="0.25">
      <c r="A95" s="7" t="s">
        <v>621</v>
      </c>
      <c r="C95" s="7" t="s">
        <v>541</v>
      </c>
      <c r="E95" s="7" t="s">
        <v>234</v>
      </c>
      <c r="F95" s="8">
        <v>8.5</v>
      </c>
      <c r="H95" s="4" t="s">
        <v>630</v>
      </c>
      <c r="I95" s="5" t="s">
        <v>304</v>
      </c>
      <c r="K95" s="7" t="s">
        <v>384</v>
      </c>
      <c r="L95" s="8">
        <v>2016</v>
      </c>
    </row>
    <row r="96" spans="1:12" x14ac:dyDescent="0.25">
      <c r="A96" s="4" t="s">
        <v>623</v>
      </c>
      <c r="C96" s="7" t="s">
        <v>558</v>
      </c>
      <c r="E96" s="7" t="s">
        <v>357</v>
      </c>
      <c r="F96" s="8">
        <v>8.5</v>
      </c>
      <c r="H96" s="4" t="s">
        <v>633</v>
      </c>
      <c r="I96" s="5" t="s">
        <v>304</v>
      </c>
      <c r="K96" s="4" t="s">
        <v>390</v>
      </c>
      <c r="L96" s="5">
        <v>2016</v>
      </c>
    </row>
    <row r="97" spans="1:12" x14ac:dyDescent="0.25">
      <c r="A97" s="7" t="s">
        <v>627</v>
      </c>
      <c r="C97" s="7" t="s">
        <v>575</v>
      </c>
      <c r="E97" s="7" t="s">
        <v>384</v>
      </c>
      <c r="F97" s="8">
        <v>8.5</v>
      </c>
      <c r="H97" s="7" t="s">
        <v>639</v>
      </c>
      <c r="I97" s="8" t="s">
        <v>622</v>
      </c>
      <c r="K97" s="4" t="s">
        <v>396</v>
      </c>
      <c r="L97" s="5">
        <v>2019</v>
      </c>
    </row>
    <row r="98" spans="1:12" x14ac:dyDescent="0.25">
      <c r="A98" s="7" t="s">
        <v>629</v>
      </c>
      <c r="C98" s="7" t="s">
        <v>577</v>
      </c>
      <c r="E98" s="4" t="s">
        <v>114</v>
      </c>
      <c r="F98" s="5">
        <v>8.5</v>
      </c>
      <c r="H98" s="4" t="s">
        <v>641</v>
      </c>
      <c r="I98" s="5" t="s">
        <v>82</v>
      </c>
      <c r="K98" s="7" t="s">
        <v>399</v>
      </c>
      <c r="L98" s="8">
        <v>2017</v>
      </c>
    </row>
    <row r="99" spans="1:12" x14ac:dyDescent="0.25">
      <c r="A99" s="4" t="s">
        <v>631</v>
      </c>
      <c r="C99" s="7" t="s">
        <v>580</v>
      </c>
      <c r="E99" s="4" t="s">
        <v>381</v>
      </c>
      <c r="F99" s="5">
        <v>8.5</v>
      </c>
      <c r="H99" s="4" t="s">
        <v>649</v>
      </c>
      <c r="I99" s="5" t="s">
        <v>650</v>
      </c>
      <c r="K99" s="4" t="s">
        <v>401</v>
      </c>
      <c r="L99" s="5">
        <v>2020</v>
      </c>
    </row>
    <row r="100" spans="1:12" x14ac:dyDescent="0.25">
      <c r="A100" s="7" t="s">
        <v>634</v>
      </c>
      <c r="C100" s="7" t="s">
        <v>585</v>
      </c>
      <c r="E100" s="4" t="s">
        <v>287</v>
      </c>
      <c r="F100" s="5">
        <v>8.5</v>
      </c>
      <c r="H100" s="7" t="s">
        <v>651</v>
      </c>
      <c r="I100" s="8" t="s">
        <v>206</v>
      </c>
      <c r="K100" s="4" t="s">
        <v>407</v>
      </c>
      <c r="L100" s="5">
        <v>2015</v>
      </c>
    </row>
    <row r="101" spans="1:12" x14ac:dyDescent="0.25">
      <c r="A101" s="7" t="s">
        <v>635</v>
      </c>
      <c r="C101" s="7" t="s">
        <v>592</v>
      </c>
      <c r="E101" s="7" t="s">
        <v>326</v>
      </c>
      <c r="F101" s="8">
        <v>8.4</v>
      </c>
      <c r="H101" s="7" t="s">
        <v>653</v>
      </c>
      <c r="I101" s="8" t="s">
        <v>654</v>
      </c>
      <c r="K101" s="7" t="s">
        <v>409</v>
      </c>
      <c r="L101" s="8">
        <v>2019</v>
      </c>
    </row>
    <row r="102" spans="1:12" x14ac:dyDescent="0.25">
      <c r="A102" s="7" t="s">
        <v>637</v>
      </c>
      <c r="C102" s="4" t="s">
        <v>599</v>
      </c>
      <c r="E102" s="4" t="s">
        <v>390</v>
      </c>
      <c r="F102" s="5">
        <v>8.4</v>
      </c>
      <c r="H102" s="7" t="s">
        <v>658</v>
      </c>
      <c r="I102" s="8" t="s">
        <v>27</v>
      </c>
      <c r="K102" s="7" t="s">
        <v>415</v>
      </c>
      <c r="L102" s="8">
        <v>2014</v>
      </c>
    </row>
    <row r="103" spans="1:12" x14ac:dyDescent="0.25">
      <c r="A103" s="7" t="s">
        <v>639</v>
      </c>
      <c r="C103" s="7" t="s">
        <v>602</v>
      </c>
      <c r="E103" s="4" t="s">
        <v>439</v>
      </c>
      <c r="F103" s="5">
        <v>8.4</v>
      </c>
      <c r="H103" s="4" t="s">
        <v>660</v>
      </c>
      <c r="I103" s="5" t="s">
        <v>294</v>
      </c>
      <c r="K103" s="4" t="s">
        <v>417</v>
      </c>
      <c r="L103" s="5">
        <v>2015</v>
      </c>
    </row>
    <row r="104" spans="1:12" x14ac:dyDescent="0.25">
      <c r="A104" s="4" t="s">
        <v>640</v>
      </c>
      <c r="C104" s="7" t="s">
        <v>606</v>
      </c>
      <c r="E104" s="4" t="s">
        <v>365</v>
      </c>
      <c r="F104" s="5">
        <v>8.4</v>
      </c>
      <c r="H104" s="10">
        <v>36900</v>
      </c>
      <c r="I104" s="8" t="s">
        <v>206</v>
      </c>
      <c r="K104" s="7" t="s">
        <v>420</v>
      </c>
      <c r="L104" s="8">
        <v>2011</v>
      </c>
    </row>
    <row r="105" spans="1:12" x14ac:dyDescent="0.25">
      <c r="A105" s="4" t="s">
        <v>641</v>
      </c>
      <c r="C105" s="7" t="s">
        <v>608</v>
      </c>
      <c r="E105" s="7" t="s">
        <v>125</v>
      </c>
      <c r="F105" s="8">
        <v>8.4</v>
      </c>
      <c r="H105" s="7" t="s">
        <v>662</v>
      </c>
      <c r="I105" s="8" t="s">
        <v>663</v>
      </c>
      <c r="K105" s="7" t="s">
        <v>426</v>
      </c>
      <c r="L105" s="8">
        <v>2012</v>
      </c>
    </row>
    <row r="106" spans="1:12" x14ac:dyDescent="0.25">
      <c r="A106" s="7" t="s">
        <v>642</v>
      </c>
      <c r="C106" s="7" t="s">
        <v>609</v>
      </c>
      <c r="E106" s="4" t="s">
        <v>293</v>
      </c>
      <c r="F106" s="5">
        <v>8.4</v>
      </c>
      <c r="H106" s="4" t="s">
        <v>664</v>
      </c>
      <c r="I106" s="5" t="s">
        <v>604</v>
      </c>
      <c r="K106" s="4" t="s">
        <v>429</v>
      </c>
      <c r="L106" s="5">
        <v>2018</v>
      </c>
    </row>
    <row r="107" spans="1:12" x14ac:dyDescent="0.25">
      <c r="A107" s="4" t="s">
        <v>644</v>
      </c>
      <c r="C107" s="7" t="s">
        <v>611</v>
      </c>
      <c r="E107" s="7" t="s">
        <v>159</v>
      </c>
      <c r="F107" s="8">
        <v>8.4</v>
      </c>
      <c r="H107" s="7" t="s">
        <v>665</v>
      </c>
      <c r="I107" s="8" t="s">
        <v>225</v>
      </c>
      <c r="K107" s="7" t="s">
        <v>432</v>
      </c>
      <c r="L107" s="8">
        <v>2018</v>
      </c>
    </row>
    <row r="108" spans="1:12" x14ac:dyDescent="0.25">
      <c r="A108" s="7" t="s">
        <v>645</v>
      </c>
      <c r="C108" s="4" t="s">
        <v>615</v>
      </c>
      <c r="E108" s="7" t="s">
        <v>248</v>
      </c>
      <c r="F108" s="8">
        <v>8.4</v>
      </c>
      <c r="H108" s="4" t="s">
        <v>667</v>
      </c>
      <c r="I108" s="5" t="s">
        <v>206</v>
      </c>
      <c r="K108" s="7" t="s">
        <v>437</v>
      </c>
      <c r="L108" s="8">
        <v>2018</v>
      </c>
    </row>
    <row r="109" spans="1:12" x14ac:dyDescent="0.25">
      <c r="A109" s="7" t="s">
        <v>646</v>
      </c>
      <c r="C109" s="7" t="s">
        <v>616</v>
      </c>
      <c r="E109" s="7" t="s">
        <v>409</v>
      </c>
      <c r="F109" s="8">
        <v>8.4</v>
      </c>
      <c r="H109" s="4" t="s">
        <v>669</v>
      </c>
      <c r="I109" s="5" t="s">
        <v>206</v>
      </c>
      <c r="K109" s="4" t="s">
        <v>439</v>
      </c>
      <c r="L109" s="5">
        <v>2014</v>
      </c>
    </row>
    <row r="110" spans="1:12" x14ac:dyDescent="0.25">
      <c r="A110" s="4" t="s">
        <v>647</v>
      </c>
      <c r="C110" s="7" t="s">
        <v>621</v>
      </c>
      <c r="E110" s="4" t="s">
        <v>170</v>
      </c>
      <c r="F110" s="5">
        <v>8.4</v>
      </c>
      <c r="H110" s="4" t="s">
        <v>670</v>
      </c>
      <c r="I110" s="5" t="s">
        <v>304</v>
      </c>
      <c r="K110" s="4" t="s">
        <v>443</v>
      </c>
      <c r="L110" s="5">
        <v>2010</v>
      </c>
    </row>
    <row r="111" spans="1:12" x14ac:dyDescent="0.25">
      <c r="A111" s="7" t="s">
        <v>648</v>
      </c>
      <c r="C111" s="4" t="s">
        <v>623</v>
      </c>
      <c r="E111" s="4" t="s">
        <v>88</v>
      </c>
      <c r="F111" s="5">
        <v>8.4</v>
      </c>
      <c r="H111" s="4" t="s">
        <v>673</v>
      </c>
      <c r="I111" s="5" t="s">
        <v>76</v>
      </c>
      <c r="K111" s="7" t="s">
        <v>445</v>
      </c>
      <c r="L111" s="8">
        <v>2020</v>
      </c>
    </row>
    <row r="112" spans="1:12" x14ac:dyDescent="0.25">
      <c r="A112" s="7" t="s">
        <v>651</v>
      </c>
      <c r="C112" s="4" t="s">
        <v>625</v>
      </c>
      <c r="E112" s="7" t="s">
        <v>242</v>
      </c>
      <c r="F112" s="8">
        <v>8.4</v>
      </c>
      <c r="H112" s="7" t="s">
        <v>674</v>
      </c>
      <c r="I112" s="8" t="s">
        <v>225</v>
      </c>
      <c r="K112" s="4" t="s">
        <v>448</v>
      </c>
      <c r="L112" s="5">
        <v>2019</v>
      </c>
    </row>
    <row r="113" spans="1:12" x14ac:dyDescent="0.25">
      <c r="A113" s="4" t="s">
        <v>652</v>
      </c>
      <c r="C113" s="4" t="s">
        <v>628</v>
      </c>
      <c r="E113" s="7" t="s">
        <v>193</v>
      </c>
      <c r="F113" s="8">
        <v>8.4</v>
      </c>
      <c r="H113" s="4" t="s">
        <v>676</v>
      </c>
      <c r="I113" s="5" t="s">
        <v>76</v>
      </c>
      <c r="K113" s="4" t="s">
        <v>453</v>
      </c>
      <c r="L113" s="5">
        <v>2016</v>
      </c>
    </row>
    <row r="114" spans="1:12" x14ac:dyDescent="0.25">
      <c r="A114" s="7" t="s">
        <v>653</v>
      </c>
      <c r="C114" s="7" t="s">
        <v>629</v>
      </c>
      <c r="E114" s="4" t="s">
        <v>417</v>
      </c>
      <c r="F114" s="5">
        <v>8.4</v>
      </c>
      <c r="H114" s="7" t="s">
        <v>679</v>
      </c>
      <c r="I114" s="8" t="s">
        <v>680</v>
      </c>
      <c r="K114" s="7" t="s">
        <v>456</v>
      </c>
      <c r="L114" s="8">
        <v>2013</v>
      </c>
    </row>
    <row r="115" spans="1:12" x14ac:dyDescent="0.25">
      <c r="A115" s="7" t="s">
        <v>656</v>
      </c>
      <c r="C115" s="7" t="s">
        <v>632</v>
      </c>
      <c r="E115" s="4" t="s">
        <v>62</v>
      </c>
      <c r="F115" s="5">
        <v>8.4</v>
      </c>
      <c r="H115" s="7" t="s">
        <v>681</v>
      </c>
      <c r="I115" s="8" t="s">
        <v>206</v>
      </c>
      <c r="K115" s="4" t="s">
        <v>458</v>
      </c>
      <c r="L115" s="5">
        <v>2017</v>
      </c>
    </row>
    <row r="116" spans="1:12" x14ac:dyDescent="0.25">
      <c r="A116" s="7" t="s">
        <v>659</v>
      </c>
      <c r="C116" s="4" t="s">
        <v>636</v>
      </c>
      <c r="E116" s="4" t="s">
        <v>303</v>
      </c>
      <c r="F116" s="5">
        <v>8.4</v>
      </c>
      <c r="H116" s="7" t="s">
        <v>683</v>
      </c>
      <c r="I116" s="8" t="s">
        <v>175</v>
      </c>
      <c r="K116" s="7" t="s">
        <v>460</v>
      </c>
      <c r="L116" s="8">
        <v>2014</v>
      </c>
    </row>
    <row r="117" spans="1:12" x14ac:dyDescent="0.25">
      <c r="A117" s="4" t="s">
        <v>661</v>
      </c>
      <c r="C117" s="4" t="s">
        <v>638</v>
      </c>
      <c r="E117" s="7" t="s">
        <v>336</v>
      </c>
      <c r="F117" s="8">
        <v>8.4</v>
      </c>
      <c r="H117" s="7" t="s">
        <v>684</v>
      </c>
      <c r="I117" s="8" t="s">
        <v>206</v>
      </c>
      <c r="K117" s="4" t="s">
        <v>462</v>
      </c>
      <c r="L117" s="5">
        <v>2019</v>
      </c>
    </row>
    <row r="118" spans="1:12" x14ac:dyDescent="0.25">
      <c r="A118" s="7" t="s">
        <v>662</v>
      </c>
      <c r="C118" s="4" t="s">
        <v>640</v>
      </c>
      <c r="E118" s="7" t="s">
        <v>258</v>
      </c>
      <c r="F118" s="8">
        <v>8.4</v>
      </c>
      <c r="H118" s="7" t="s">
        <v>686</v>
      </c>
      <c r="I118" s="8" t="s">
        <v>622</v>
      </c>
      <c r="K118" s="4" t="s">
        <v>469</v>
      </c>
      <c r="L118" s="5">
        <v>2017</v>
      </c>
    </row>
    <row r="119" spans="1:12" x14ac:dyDescent="0.25">
      <c r="A119" s="7" t="s">
        <v>665</v>
      </c>
      <c r="C119" s="4" t="s">
        <v>643</v>
      </c>
      <c r="E119" s="4" t="s">
        <v>329</v>
      </c>
      <c r="F119" s="5">
        <v>8.4</v>
      </c>
      <c r="H119" s="7" t="s">
        <v>688</v>
      </c>
      <c r="I119" s="8" t="s">
        <v>175</v>
      </c>
      <c r="K119" s="4" t="s">
        <v>474</v>
      </c>
      <c r="L119" s="5">
        <v>2015</v>
      </c>
    </row>
    <row r="120" spans="1:12" x14ac:dyDescent="0.25">
      <c r="A120" s="7" t="s">
        <v>666</v>
      </c>
      <c r="C120" s="4" t="s">
        <v>655</v>
      </c>
      <c r="E120" s="7">
        <v>24</v>
      </c>
      <c r="F120" s="8">
        <v>8.3000000000000007</v>
      </c>
      <c r="H120" s="4" t="s">
        <v>689</v>
      </c>
      <c r="I120" s="5" t="s">
        <v>288</v>
      </c>
      <c r="K120" s="4" t="s">
        <v>480</v>
      </c>
      <c r="L120" s="5">
        <v>2012</v>
      </c>
    </row>
    <row r="121" spans="1:12" x14ac:dyDescent="0.25">
      <c r="A121" s="4" t="s">
        <v>667</v>
      </c>
      <c r="C121" s="7" t="s">
        <v>657</v>
      </c>
      <c r="E121" s="7" t="s">
        <v>211</v>
      </c>
      <c r="F121" s="8">
        <v>8.3000000000000007</v>
      </c>
      <c r="H121" s="4" t="s">
        <v>692</v>
      </c>
      <c r="I121" s="5" t="s">
        <v>175</v>
      </c>
      <c r="K121" s="7" t="s">
        <v>482</v>
      </c>
      <c r="L121" s="8">
        <v>2011</v>
      </c>
    </row>
    <row r="122" spans="1:12" x14ac:dyDescent="0.25">
      <c r="A122" s="7" t="s">
        <v>668</v>
      </c>
      <c r="C122" s="4" t="s">
        <v>675</v>
      </c>
      <c r="E122" s="7" t="s">
        <v>217</v>
      </c>
      <c r="F122" s="8">
        <v>8.3000000000000007</v>
      </c>
      <c r="H122" s="7" t="s">
        <v>695</v>
      </c>
      <c r="I122" s="8" t="s">
        <v>206</v>
      </c>
      <c r="K122" s="7" t="s">
        <v>488</v>
      </c>
      <c r="L122" s="8">
        <v>2019</v>
      </c>
    </row>
    <row r="123" spans="1:12" x14ac:dyDescent="0.25">
      <c r="A123" s="4" t="s">
        <v>669</v>
      </c>
      <c r="C123" s="4" t="s">
        <v>682</v>
      </c>
      <c r="E123" s="4" t="s">
        <v>275</v>
      </c>
      <c r="F123" s="5">
        <v>8.3000000000000007</v>
      </c>
      <c r="H123" s="4" t="s">
        <v>696</v>
      </c>
      <c r="I123" s="5" t="s">
        <v>82</v>
      </c>
      <c r="K123" s="7" t="s">
        <v>492</v>
      </c>
      <c r="L123" s="8">
        <v>2018</v>
      </c>
    </row>
    <row r="124" spans="1:12" x14ac:dyDescent="0.25">
      <c r="A124" s="7" t="s">
        <v>671</v>
      </c>
      <c r="C124" s="4" t="s">
        <v>687</v>
      </c>
      <c r="E124" s="7" t="s">
        <v>399</v>
      </c>
      <c r="F124" s="8">
        <v>8.3000000000000007</v>
      </c>
      <c r="H124" s="7" t="s">
        <v>697</v>
      </c>
      <c r="I124" s="8" t="s">
        <v>206</v>
      </c>
      <c r="K124" s="4" t="s">
        <v>495</v>
      </c>
      <c r="L124" s="5">
        <v>2018</v>
      </c>
    </row>
    <row r="125" spans="1:12" x14ac:dyDescent="0.25">
      <c r="A125" s="7" t="s">
        <v>672</v>
      </c>
      <c r="C125" s="4" t="s">
        <v>689</v>
      </c>
      <c r="E125" s="4" t="s">
        <v>121</v>
      </c>
      <c r="F125" s="5">
        <v>8.3000000000000007</v>
      </c>
      <c r="H125" s="7" t="s">
        <v>699</v>
      </c>
      <c r="I125" s="8" t="s">
        <v>304</v>
      </c>
      <c r="K125" s="7" t="s">
        <v>497</v>
      </c>
      <c r="L125" s="8">
        <v>2011</v>
      </c>
    </row>
    <row r="126" spans="1:12" x14ac:dyDescent="0.25">
      <c r="A126" s="4" t="s">
        <v>673</v>
      </c>
      <c r="C126" s="4" t="s">
        <v>733</v>
      </c>
      <c r="E126" s="4" t="s">
        <v>333</v>
      </c>
      <c r="F126" s="5">
        <v>8.3000000000000007</v>
      </c>
      <c r="H126" s="7" t="s">
        <v>700</v>
      </c>
      <c r="I126" s="8" t="s">
        <v>206</v>
      </c>
      <c r="K126" s="4" t="s">
        <v>500</v>
      </c>
      <c r="L126" s="5">
        <v>2019</v>
      </c>
    </row>
    <row r="127" spans="1:12" x14ac:dyDescent="0.25">
      <c r="A127" s="4" t="s">
        <v>676</v>
      </c>
      <c r="C127" s="7" t="s">
        <v>734</v>
      </c>
      <c r="E127" s="4" t="s">
        <v>256</v>
      </c>
      <c r="F127" s="5">
        <v>8.3000000000000007</v>
      </c>
      <c r="H127" s="4" t="s">
        <v>703</v>
      </c>
      <c r="I127" s="5" t="s">
        <v>27</v>
      </c>
      <c r="K127" s="7" t="s">
        <v>502</v>
      </c>
      <c r="L127" s="8">
        <v>2015</v>
      </c>
    </row>
    <row r="128" spans="1:12" x14ac:dyDescent="0.25">
      <c r="A128" s="4" t="s">
        <v>677</v>
      </c>
      <c r="C128" s="4" t="s">
        <v>737</v>
      </c>
      <c r="E128" s="7" t="s">
        <v>404</v>
      </c>
      <c r="F128" s="8">
        <v>8.3000000000000007</v>
      </c>
      <c r="H128" s="7" t="s">
        <v>704</v>
      </c>
      <c r="I128" s="8" t="s">
        <v>27</v>
      </c>
      <c r="K128" s="4" t="s">
        <v>504</v>
      </c>
      <c r="L128" s="5">
        <v>2018</v>
      </c>
    </row>
    <row r="129" spans="1:12" x14ac:dyDescent="0.25">
      <c r="A129" s="4" t="s">
        <v>678</v>
      </c>
      <c r="C129" s="7" t="s">
        <v>740</v>
      </c>
      <c r="E129" s="4" t="s">
        <v>354</v>
      </c>
      <c r="F129" s="5">
        <v>8.3000000000000007</v>
      </c>
      <c r="H129" s="4" t="s">
        <v>705</v>
      </c>
      <c r="I129" s="5" t="s">
        <v>38</v>
      </c>
      <c r="K129" s="7" t="s">
        <v>507</v>
      </c>
      <c r="L129" s="8">
        <v>2018</v>
      </c>
    </row>
    <row r="130" spans="1:12" x14ac:dyDescent="0.25">
      <c r="A130" s="7" t="s">
        <v>679</v>
      </c>
      <c r="C130" s="7" t="s">
        <v>741</v>
      </c>
      <c r="E130" s="4" t="s">
        <v>344</v>
      </c>
      <c r="F130" s="5">
        <v>8.3000000000000007</v>
      </c>
      <c r="H130" s="4" t="s">
        <v>706</v>
      </c>
      <c r="I130" s="5" t="s">
        <v>76</v>
      </c>
      <c r="K130" s="4" t="s">
        <v>509</v>
      </c>
      <c r="L130" s="5">
        <v>2010</v>
      </c>
    </row>
    <row r="131" spans="1:12" x14ac:dyDescent="0.25">
      <c r="A131" s="7" t="s">
        <v>684</v>
      </c>
      <c r="C131" s="4" t="s">
        <v>745</v>
      </c>
      <c r="E131" s="4" t="s">
        <v>129</v>
      </c>
      <c r="F131" s="5">
        <v>8.3000000000000007</v>
      </c>
      <c r="H131" s="4" t="s">
        <v>707</v>
      </c>
      <c r="I131" s="5" t="s">
        <v>76</v>
      </c>
      <c r="K131" s="7" t="s">
        <v>511</v>
      </c>
      <c r="L131" s="8">
        <v>2015</v>
      </c>
    </row>
    <row r="132" spans="1:12" x14ac:dyDescent="0.25">
      <c r="A132" s="4" t="s">
        <v>685</v>
      </c>
      <c r="C132" s="7" t="s">
        <v>748</v>
      </c>
      <c r="E132" s="4" t="s">
        <v>386</v>
      </c>
      <c r="F132" s="5">
        <v>8.1999999999999993</v>
      </c>
      <c r="H132" s="4" t="s">
        <v>711</v>
      </c>
      <c r="I132" s="5" t="s">
        <v>118</v>
      </c>
      <c r="K132" s="4" t="s">
        <v>514</v>
      </c>
      <c r="L132" s="5">
        <v>2020</v>
      </c>
    </row>
    <row r="133" spans="1:12" x14ac:dyDescent="0.25">
      <c r="A133" s="4" t="s">
        <v>690</v>
      </c>
      <c r="C133" s="7" t="s">
        <v>749</v>
      </c>
      <c r="E133" s="7" t="s">
        <v>373</v>
      </c>
      <c r="F133" s="8">
        <v>8.1999999999999993</v>
      </c>
      <c r="H133" s="4" t="s">
        <v>712</v>
      </c>
      <c r="I133" s="5" t="s">
        <v>304</v>
      </c>
      <c r="K133" s="7" t="s">
        <v>521</v>
      </c>
      <c r="L133" s="8">
        <v>2017</v>
      </c>
    </row>
    <row r="134" spans="1:12" x14ac:dyDescent="0.25">
      <c r="A134" s="4" t="s">
        <v>691</v>
      </c>
      <c r="C134" s="4" t="s">
        <v>750</v>
      </c>
      <c r="E134" s="7" t="s">
        <v>85</v>
      </c>
      <c r="F134" s="8">
        <v>8.1999999999999993</v>
      </c>
      <c r="H134" s="7" t="s">
        <v>713</v>
      </c>
      <c r="I134" s="8" t="s">
        <v>38</v>
      </c>
      <c r="K134" s="4" t="s">
        <v>523</v>
      </c>
      <c r="L134" s="5">
        <v>2020</v>
      </c>
    </row>
    <row r="135" spans="1:12" x14ac:dyDescent="0.25">
      <c r="A135" s="4" t="s">
        <v>693</v>
      </c>
      <c r="C135" s="7" t="s">
        <v>751</v>
      </c>
      <c r="E135" s="4" t="s">
        <v>349</v>
      </c>
      <c r="F135" s="5">
        <v>8.1999999999999993</v>
      </c>
      <c r="H135" s="7" t="s">
        <v>714</v>
      </c>
      <c r="I135" s="8" t="s">
        <v>206</v>
      </c>
      <c r="K135" s="7" t="s">
        <v>525</v>
      </c>
      <c r="L135" s="8">
        <v>2020</v>
      </c>
    </row>
    <row r="136" spans="1:12" x14ac:dyDescent="0.25">
      <c r="A136" s="4" t="s">
        <v>698</v>
      </c>
      <c r="C136" s="7" t="s">
        <v>752</v>
      </c>
      <c r="E136" s="4" t="s">
        <v>208</v>
      </c>
      <c r="F136" s="5">
        <v>8.1999999999999993</v>
      </c>
      <c r="H136" s="4" t="s">
        <v>716</v>
      </c>
      <c r="I136" s="5" t="s">
        <v>82</v>
      </c>
      <c r="K136" s="4" t="s">
        <v>528</v>
      </c>
      <c r="L136" s="5">
        <v>2018</v>
      </c>
    </row>
    <row r="137" spans="1:12" x14ac:dyDescent="0.25">
      <c r="A137" s="7" t="s">
        <v>700</v>
      </c>
      <c r="C137" s="7" t="s">
        <v>753</v>
      </c>
      <c r="E137" s="4" t="s">
        <v>219</v>
      </c>
      <c r="F137" s="5">
        <v>8.1999999999999993</v>
      </c>
      <c r="H137" s="7" t="s">
        <v>717</v>
      </c>
      <c r="I137" s="8" t="s">
        <v>92</v>
      </c>
      <c r="K137" s="4" t="s">
        <v>533</v>
      </c>
      <c r="L137" s="5">
        <v>2019</v>
      </c>
    </row>
    <row r="138" spans="1:12" x14ac:dyDescent="0.25">
      <c r="A138" s="4" t="s">
        <v>701</v>
      </c>
      <c r="C138" s="7" t="s">
        <v>754</v>
      </c>
      <c r="E138" s="7" t="s">
        <v>117</v>
      </c>
      <c r="F138" s="8">
        <v>8.1999999999999993</v>
      </c>
      <c r="H138" s="4" t="s">
        <v>718</v>
      </c>
      <c r="I138" s="5" t="s">
        <v>304</v>
      </c>
      <c r="K138" s="4" t="s">
        <v>539</v>
      </c>
      <c r="L138" s="5">
        <v>2011</v>
      </c>
    </row>
    <row r="139" spans="1:12" x14ac:dyDescent="0.25">
      <c r="A139" s="7" t="s">
        <v>702</v>
      </c>
      <c r="C139" s="7" t="s">
        <v>755</v>
      </c>
      <c r="E139" s="7" t="s">
        <v>205</v>
      </c>
      <c r="F139" s="8">
        <v>8.1999999999999993</v>
      </c>
      <c r="H139" s="7" t="s">
        <v>720</v>
      </c>
      <c r="I139" s="8" t="s">
        <v>650</v>
      </c>
      <c r="K139" s="7" t="s">
        <v>546</v>
      </c>
      <c r="L139" s="8">
        <v>2016</v>
      </c>
    </row>
    <row r="140" spans="1:12" x14ac:dyDescent="0.25">
      <c r="A140" s="4" t="s">
        <v>703</v>
      </c>
      <c r="C140" s="7" t="s">
        <v>756</v>
      </c>
      <c r="E140" s="7" t="s">
        <v>388</v>
      </c>
      <c r="F140" s="8">
        <v>8.1999999999999993</v>
      </c>
      <c r="H140" s="4" t="s">
        <v>721</v>
      </c>
      <c r="I140" s="5" t="s">
        <v>27</v>
      </c>
      <c r="K140" s="4" t="s">
        <v>409</v>
      </c>
      <c r="L140" s="5">
        <v>2014</v>
      </c>
    </row>
    <row r="141" spans="1:12" x14ac:dyDescent="0.25">
      <c r="A141" s="7" t="s">
        <v>704</v>
      </c>
      <c r="C141" s="7" t="s">
        <v>757</v>
      </c>
      <c r="E141" s="4" t="s">
        <v>429</v>
      </c>
      <c r="F141" s="5">
        <v>8.1</v>
      </c>
      <c r="H141" s="7" t="s">
        <v>722</v>
      </c>
      <c r="I141" s="8" t="s">
        <v>92</v>
      </c>
      <c r="K141" s="7" t="s">
        <v>549</v>
      </c>
      <c r="L141" s="8">
        <v>2014</v>
      </c>
    </row>
    <row r="142" spans="1:12" x14ac:dyDescent="0.25">
      <c r="A142" s="7" t="s">
        <v>708</v>
      </c>
      <c r="C142" s="4" t="s">
        <v>758</v>
      </c>
      <c r="E142" s="7" t="s">
        <v>415</v>
      </c>
      <c r="F142" s="8">
        <v>8.1</v>
      </c>
      <c r="H142" s="4" t="s">
        <v>723</v>
      </c>
      <c r="I142" s="5" t="s">
        <v>622</v>
      </c>
      <c r="K142" s="7" t="s">
        <v>554</v>
      </c>
      <c r="L142" s="8">
        <v>2016</v>
      </c>
    </row>
    <row r="143" spans="1:12" x14ac:dyDescent="0.25">
      <c r="A143" s="7" t="s">
        <v>709</v>
      </c>
      <c r="C143" s="7" t="s">
        <v>759</v>
      </c>
      <c r="E143" s="7" t="s">
        <v>285</v>
      </c>
      <c r="F143" s="8">
        <v>8.1</v>
      </c>
      <c r="H143" s="7" t="s">
        <v>724</v>
      </c>
      <c r="I143" s="8" t="s">
        <v>118</v>
      </c>
      <c r="K143" s="4" t="s">
        <v>556</v>
      </c>
      <c r="L143" s="5">
        <v>2011</v>
      </c>
    </row>
    <row r="144" spans="1:12" x14ac:dyDescent="0.25">
      <c r="A144" s="4" t="s">
        <v>710</v>
      </c>
      <c r="C144" s="7" t="s">
        <v>760</v>
      </c>
      <c r="E144" s="7" t="s">
        <v>167</v>
      </c>
      <c r="F144" s="8">
        <v>8.1</v>
      </c>
      <c r="H144" s="4" t="s">
        <v>725</v>
      </c>
      <c r="I144" s="5" t="s">
        <v>175</v>
      </c>
      <c r="K144" s="7" t="s">
        <v>558</v>
      </c>
      <c r="L144" s="8">
        <v>2011</v>
      </c>
    </row>
    <row r="145" spans="1:12" x14ac:dyDescent="0.25">
      <c r="A145" s="4" t="s">
        <v>712</v>
      </c>
      <c r="C145" s="4" t="s">
        <v>761</v>
      </c>
      <c r="E145" s="7" t="s">
        <v>316</v>
      </c>
      <c r="F145" s="8">
        <v>8.1</v>
      </c>
      <c r="H145" s="7" t="s">
        <v>726</v>
      </c>
      <c r="I145" s="8" t="s">
        <v>82</v>
      </c>
      <c r="K145" s="7" t="s">
        <v>564</v>
      </c>
      <c r="L145" s="8">
        <v>2015</v>
      </c>
    </row>
    <row r="146" spans="1:12" x14ac:dyDescent="0.25">
      <c r="A146" s="7" t="s">
        <v>714</v>
      </c>
      <c r="C146" s="7" t="s">
        <v>762</v>
      </c>
      <c r="E146" s="7" t="s">
        <v>272</v>
      </c>
      <c r="F146" s="8">
        <v>8</v>
      </c>
      <c r="H146" s="4" t="s">
        <v>727</v>
      </c>
      <c r="I146" s="5" t="s">
        <v>304</v>
      </c>
      <c r="K146" s="7" t="s">
        <v>571</v>
      </c>
      <c r="L146" s="8">
        <v>2019</v>
      </c>
    </row>
    <row r="147" spans="1:12" x14ac:dyDescent="0.25">
      <c r="A147" s="7" t="s">
        <v>715</v>
      </c>
      <c r="C147" s="7" t="s">
        <v>763</v>
      </c>
      <c r="E147" s="7" t="s">
        <v>112</v>
      </c>
      <c r="F147" s="8">
        <v>8</v>
      </c>
      <c r="H147" s="7" t="s">
        <v>728</v>
      </c>
      <c r="I147" s="8" t="s">
        <v>304</v>
      </c>
      <c r="K147" s="4" t="s">
        <v>573</v>
      </c>
      <c r="L147" s="5">
        <v>2019</v>
      </c>
    </row>
    <row r="148" spans="1:12" x14ac:dyDescent="0.25">
      <c r="A148" s="4" t="s">
        <v>716</v>
      </c>
      <c r="C148" s="7" t="s">
        <v>764</v>
      </c>
      <c r="E148" s="4" t="s">
        <v>407</v>
      </c>
      <c r="F148" s="5">
        <v>7.9</v>
      </c>
      <c r="H148" s="7" t="s">
        <v>729</v>
      </c>
      <c r="I148" s="8" t="s">
        <v>76</v>
      </c>
      <c r="K148" s="7" t="s">
        <v>575</v>
      </c>
      <c r="L148" s="8">
        <v>2015</v>
      </c>
    </row>
    <row r="149" spans="1:12" x14ac:dyDescent="0.25">
      <c r="A149" s="7" t="s">
        <v>717</v>
      </c>
      <c r="C149" s="7" t="s">
        <v>765</v>
      </c>
      <c r="E149" s="7" t="s">
        <v>432</v>
      </c>
      <c r="F149" s="8">
        <v>7.8</v>
      </c>
      <c r="H149" s="4" t="s">
        <v>730</v>
      </c>
      <c r="I149" s="5" t="s">
        <v>515</v>
      </c>
      <c r="K149" s="4" t="s">
        <v>578</v>
      </c>
      <c r="L149" s="5">
        <v>2017</v>
      </c>
    </row>
    <row r="150" spans="1:12" x14ac:dyDescent="0.25">
      <c r="A150" s="4" t="s">
        <v>719</v>
      </c>
      <c r="C150" s="4" t="s">
        <v>766</v>
      </c>
      <c r="E150" s="7" t="s">
        <v>420</v>
      </c>
      <c r="F150" s="8">
        <v>7.7</v>
      </c>
      <c r="H150" s="7" t="s">
        <v>731</v>
      </c>
      <c r="I150" s="8" t="s">
        <v>622</v>
      </c>
      <c r="K150" s="7" t="s">
        <v>579</v>
      </c>
      <c r="L150" s="8">
        <v>2019</v>
      </c>
    </row>
    <row r="151" spans="1:12" x14ac:dyDescent="0.25">
      <c r="A151" s="7" t="s">
        <v>722</v>
      </c>
      <c r="C151" s="4" t="s">
        <v>767</v>
      </c>
      <c r="E151" s="4" t="s">
        <v>360</v>
      </c>
      <c r="F151" s="5">
        <v>7.7</v>
      </c>
      <c r="H151" s="4" t="s">
        <v>735</v>
      </c>
      <c r="I151" s="5" t="s">
        <v>82</v>
      </c>
      <c r="K151" s="7" t="s">
        <v>580</v>
      </c>
      <c r="L151" s="8">
        <v>2011</v>
      </c>
    </row>
    <row r="152" spans="1:12" x14ac:dyDescent="0.25">
      <c r="A152" s="7" t="s">
        <v>728</v>
      </c>
      <c r="C152" s="4" t="s">
        <v>768</v>
      </c>
      <c r="E152" s="4" t="s">
        <v>214</v>
      </c>
      <c r="F152" s="5">
        <v>7.7</v>
      </c>
      <c r="H152" s="7" t="s">
        <v>736</v>
      </c>
      <c r="I152" s="8" t="s">
        <v>206</v>
      </c>
      <c r="K152" s="4" t="s">
        <v>582</v>
      </c>
      <c r="L152" s="5">
        <v>2013</v>
      </c>
    </row>
    <row r="153" spans="1:12" x14ac:dyDescent="0.25">
      <c r="A153" s="7" t="s">
        <v>729</v>
      </c>
      <c r="C153" s="7" t="s">
        <v>769</v>
      </c>
      <c r="E153" s="4" t="s">
        <v>299</v>
      </c>
      <c r="F153" s="5">
        <v>7.7</v>
      </c>
      <c r="H153" s="7" t="s">
        <v>738</v>
      </c>
      <c r="I153" s="8" t="s">
        <v>118</v>
      </c>
      <c r="K153" s="7" t="s">
        <v>583</v>
      </c>
      <c r="L153" s="8">
        <v>2018</v>
      </c>
    </row>
    <row r="154" spans="1:12" x14ac:dyDescent="0.25">
      <c r="A154" s="4" t="s">
        <v>732</v>
      </c>
      <c r="C154" s="4" t="s">
        <v>770</v>
      </c>
      <c r="E154" s="7" t="s">
        <v>254</v>
      </c>
      <c r="F154" s="8">
        <v>7.7</v>
      </c>
      <c r="H154" s="4" t="s">
        <v>739</v>
      </c>
      <c r="I154" s="5" t="s">
        <v>27</v>
      </c>
      <c r="K154" s="4" t="s">
        <v>584</v>
      </c>
      <c r="L154" s="5">
        <v>2018</v>
      </c>
    </row>
    <row r="155" spans="1:12" x14ac:dyDescent="0.25">
      <c r="A155" s="4" t="s">
        <v>735</v>
      </c>
      <c r="C155" s="7" t="s">
        <v>771</v>
      </c>
      <c r="E155" s="4" t="s">
        <v>224</v>
      </c>
      <c r="F155" s="5">
        <v>7.6</v>
      </c>
      <c r="H155" s="4" t="s">
        <v>742</v>
      </c>
      <c r="I155" s="5" t="s">
        <v>76</v>
      </c>
      <c r="K155" s="4" t="s">
        <v>586</v>
      </c>
      <c r="L155" s="5">
        <v>2014</v>
      </c>
    </row>
    <row r="156" spans="1:12" x14ac:dyDescent="0.25">
      <c r="A156" s="7" t="s">
        <v>736</v>
      </c>
      <c r="C156" s="4" t="s">
        <v>772</v>
      </c>
      <c r="E156" s="4" t="s">
        <v>371</v>
      </c>
      <c r="F156" s="5">
        <v>7.5</v>
      </c>
      <c r="H156" s="7" t="s">
        <v>743</v>
      </c>
      <c r="I156" s="8" t="s">
        <v>744</v>
      </c>
      <c r="K156" s="7" t="s">
        <v>587</v>
      </c>
      <c r="L156" s="8">
        <v>2016</v>
      </c>
    </row>
    <row r="157" spans="1:12" x14ac:dyDescent="0.25">
      <c r="A157" s="4" t="s">
        <v>737</v>
      </c>
      <c r="C157" s="4" t="s">
        <v>773</v>
      </c>
      <c r="E157" s="4" t="s">
        <v>236</v>
      </c>
      <c r="F157" s="5">
        <v>7.5</v>
      </c>
      <c r="H157" s="7" t="s">
        <v>746</v>
      </c>
      <c r="I157" s="8" t="s">
        <v>76</v>
      </c>
      <c r="K157" s="4" t="s">
        <v>588</v>
      </c>
      <c r="L157" s="5">
        <v>2012</v>
      </c>
    </row>
    <row r="158" spans="1:12" x14ac:dyDescent="0.25">
      <c r="C158" s="7" t="s">
        <v>774</v>
      </c>
      <c r="E158" s="4" t="s">
        <v>443</v>
      </c>
      <c r="F158" s="5">
        <v>7.4</v>
      </c>
      <c r="H158" s="4" t="s">
        <v>747</v>
      </c>
      <c r="I158" s="5" t="s">
        <v>622</v>
      </c>
      <c r="K158" s="4" t="s">
        <v>590</v>
      </c>
      <c r="L158" s="5">
        <v>2020</v>
      </c>
    </row>
  </sheetData>
  <sortState xmlns:xlrd2="http://schemas.microsoft.com/office/spreadsheetml/2017/richdata2" ref="E12:F158">
    <sortCondition descending="1" ref="F12:F158"/>
  </sortState>
  <mergeCells count="1">
    <mergeCell ref="E9:F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AFC1-0175-4C6B-95A7-1BCE970888A9}">
  <dimension ref="A1:A8"/>
  <sheetViews>
    <sheetView workbookViewId="0">
      <selection activeCell="A3" sqref="A3"/>
    </sheetView>
  </sheetViews>
  <sheetFormatPr defaultRowHeight="15" x14ac:dyDescent="0.25"/>
  <cols>
    <col min="1" max="1" width="104.28515625" bestFit="1" customWidth="1"/>
    <col min="3" max="3" width="12.42578125" bestFit="1" customWidth="1"/>
  </cols>
  <sheetData>
    <row r="1" spans="1:1" ht="20.25" x14ac:dyDescent="0.25">
      <c r="A1" s="30" t="s">
        <v>813</v>
      </c>
    </row>
    <row r="2" spans="1:1" ht="18.75" x14ac:dyDescent="0.25">
      <c r="A2" s="13" t="s">
        <v>814</v>
      </c>
    </row>
    <row r="3" spans="1:1" ht="18.75" x14ac:dyDescent="0.25">
      <c r="A3" s="13" t="s">
        <v>815</v>
      </c>
    </row>
    <row r="4" spans="1:1" ht="18.75" x14ac:dyDescent="0.25">
      <c r="A4" s="13" t="s">
        <v>816</v>
      </c>
    </row>
    <row r="5" spans="1:1" ht="18.75" x14ac:dyDescent="0.25">
      <c r="A5" s="13" t="s">
        <v>857</v>
      </c>
    </row>
    <row r="6" spans="1:1" ht="18.75" x14ac:dyDescent="0.25">
      <c r="A6" s="13" t="s">
        <v>859</v>
      </c>
    </row>
    <row r="7" spans="1:1" ht="18.75" x14ac:dyDescent="0.25">
      <c r="A7" s="13" t="s">
        <v>860</v>
      </c>
    </row>
    <row r="8" spans="1:1" ht="18.75" x14ac:dyDescent="0.25">
      <c r="A8" s="13" t="s">
        <v>861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398B-B586-4284-B85C-28C3DB8600B9}">
  <dimension ref="A1:C12"/>
  <sheetViews>
    <sheetView workbookViewId="0">
      <selection activeCell="F9" sqref="F9"/>
    </sheetView>
  </sheetViews>
  <sheetFormatPr defaultRowHeight="15" x14ac:dyDescent="0.25"/>
  <cols>
    <col min="1" max="1" width="73" bestFit="1" customWidth="1"/>
    <col min="2" max="2" width="14" bestFit="1" customWidth="1"/>
    <col min="3" max="3" width="19.140625" bestFit="1" customWidth="1"/>
  </cols>
  <sheetData>
    <row r="1" spans="1:3" ht="15.75" x14ac:dyDescent="0.25">
      <c r="A1" s="43" t="s">
        <v>864</v>
      </c>
    </row>
    <row r="6" spans="1:3" x14ac:dyDescent="0.25">
      <c r="B6" s="35" t="s">
        <v>845</v>
      </c>
      <c r="C6" t="s">
        <v>848</v>
      </c>
    </row>
    <row r="7" spans="1:3" x14ac:dyDescent="0.25">
      <c r="B7" s="36" t="s">
        <v>34</v>
      </c>
      <c r="C7" s="37">
        <v>14</v>
      </c>
    </row>
    <row r="8" spans="1:3" x14ac:dyDescent="0.25">
      <c r="B8" s="36" t="s">
        <v>46</v>
      </c>
      <c r="C8" s="37">
        <v>17</v>
      </c>
    </row>
    <row r="9" spans="1:3" x14ac:dyDescent="0.25">
      <c r="B9" s="36" t="s">
        <v>849</v>
      </c>
      <c r="C9" s="37">
        <v>98</v>
      </c>
    </row>
    <row r="10" spans="1:3" x14ac:dyDescent="0.25">
      <c r="B10" s="36" t="s">
        <v>14</v>
      </c>
      <c r="C10" s="37">
        <v>49</v>
      </c>
    </row>
    <row r="11" spans="1:3" x14ac:dyDescent="0.25">
      <c r="B11" s="36" t="s">
        <v>19</v>
      </c>
      <c r="C11" s="37">
        <v>21</v>
      </c>
    </row>
    <row r="12" spans="1:3" x14ac:dyDescent="0.25">
      <c r="B12" s="36" t="s">
        <v>846</v>
      </c>
      <c r="C12" s="37">
        <v>199</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E26C-BF76-402D-92BE-7D1FC7234B01}">
  <dimension ref="A1:C13"/>
  <sheetViews>
    <sheetView workbookViewId="0">
      <selection activeCell="B7" sqref="B7"/>
    </sheetView>
  </sheetViews>
  <sheetFormatPr defaultRowHeight="15" x14ac:dyDescent="0.25"/>
  <cols>
    <col min="1" max="1" width="65.5703125" bestFit="1" customWidth="1"/>
    <col min="2" max="2" width="20.7109375" bestFit="1" customWidth="1"/>
    <col min="3" max="3" width="23.28515625" bestFit="1" customWidth="1"/>
  </cols>
  <sheetData>
    <row r="1" spans="1:3" ht="15.75" x14ac:dyDescent="0.25">
      <c r="A1" s="43" t="s">
        <v>865</v>
      </c>
    </row>
    <row r="5" spans="1:3" x14ac:dyDescent="0.25">
      <c r="B5" s="35" t="s">
        <v>845</v>
      </c>
      <c r="C5" t="s">
        <v>856</v>
      </c>
    </row>
    <row r="6" spans="1:3" x14ac:dyDescent="0.25">
      <c r="B6" s="36" t="s">
        <v>853</v>
      </c>
      <c r="C6" s="42">
        <v>8.6666666666666661</v>
      </c>
    </row>
    <row r="7" spans="1:3" x14ac:dyDescent="0.25">
      <c r="B7" s="36" t="s">
        <v>855</v>
      </c>
      <c r="C7" s="42">
        <v>8.6</v>
      </c>
    </row>
    <row r="8" spans="1:3" x14ac:dyDescent="0.25">
      <c r="B8" s="36" t="s">
        <v>11</v>
      </c>
      <c r="C8" s="42">
        <v>8.5266666666666673</v>
      </c>
    </row>
    <row r="9" spans="1:3" x14ac:dyDescent="0.25">
      <c r="B9" s="36" t="s">
        <v>852</v>
      </c>
      <c r="C9" s="42">
        <v>8.5</v>
      </c>
    </row>
    <row r="10" spans="1:3" x14ac:dyDescent="0.25">
      <c r="B10" s="36" t="s">
        <v>854</v>
      </c>
      <c r="C10" s="42">
        <v>8.4155555555555548</v>
      </c>
    </row>
    <row r="11" spans="1:3" x14ac:dyDescent="0.25">
      <c r="B11" s="36" t="s">
        <v>842</v>
      </c>
      <c r="C11" s="42">
        <v>8.3482142857142865</v>
      </c>
    </row>
    <row r="12" spans="1:3" x14ac:dyDescent="0.25">
      <c r="B12" s="36" t="s">
        <v>851</v>
      </c>
      <c r="C12" s="42">
        <v>8.3142857142857149</v>
      </c>
    </row>
    <row r="13" spans="1:3" x14ac:dyDescent="0.25">
      <c r="B13" s="36" t="s">
        <v>846</v>
      </c>
      <c r="C13" s="37">
        <v>8.448743718592965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6731-B058-4821-A826-49EAA4832FF9}">
  <dimension ref="A1:B6"/>
  <sheetViews>
    <sheetView workbookViewId="0">
      <selection activeCell="B3" sqref="A1:B6"/>
    </sheetView>
  </sheetViews>
  <sheetFormatPr defaultRowHeight="15" x14ac:dyDescent="0.25"/>
  <cols>
    <col min="1" max="1" width="13.140625" bestFit="1" customWidth="1"/>
    <col min="2" max="2" width="23.28515625" bestFit="1" customWidth="1"/>
  </cols>
  <sheetData>
    <row r="1" spans="1:2" x14ac:dyDescent="0.25">
      <c r="A1" s="35" t="s">
        <v>845</v>
      </c>
      <c r="B1" t="s">
        <v>856</v>
      </c>
    </row>
    <row r="2" spans="1:2" x14ac:dyDescent="0.25">
      <c r="A2" s="36" t="s">
        <v>368</v>
      </c>
      <c r="B2" s="42">
        <v>9.15</v>
      </c>
    </row>
    <row r="3" spans="1:2" x14ac:dyDescent="0.25">
      <c r="A3" s="36" t="s">
        <v>48</v>
      </c>
      <c r="B3" s="42">
        <v>8.5130434782608688</v>
      </c>
    </row>
    <row r="4" spans="1:2" x14ac:dyDescent="0.25">
      <c r="A4" s="36" t="s">
        <v>10</v>
      </c>
      <c r="B4" s="42">
        <v>8.5009433962264129</v>
      </c>
    </row>
    <row r="5" spans="1:2" x14ac:dyDescent="0.25">
      <c r="A5" s="36" t="s">
        <v>26</v>
      </c>
      <c r="B5" s="42">
        <v>8.3249999999999993</v>
      </c>
    </row>
    <row r="6" spans="1:2" x14ac:dyDescent="0.25">
      <c r="A6" s="36" t="s">
        <v>846</v>
      </c>
      <c r="B6" s="42">
        <v>8.448743718592965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2134-C3A9-4966-97E1-879B03CB6B07}">
  <dimension ref="A1:B9"/>
  <sheetViews>
    <sheetView workbookViewId="0">
      <selection activeCell="A13" sqref="A13"/>
    </sheetView>
  </sheetViews>
  <sheetFormatPr defaultRowHeight="15" x14ac:dyDescent="0.25"/>
  <cols>
    <col min="1" max="1" width="20.7109375" bestFit="1" customWidth="1"/>
    <col min="2" max="2" width="20.140625" bestFit="1" customWidth="1"/>
    <col min="3" max="3" width="18.7109375" bestFit="1" customWidth="1"/>
  </cols>
  <sheetData>
    <row r="1" spans="1:2" x14ac:dyDescent="0.25">
      <c r="A1" s="35" t="s">
        <v>845</v>
      </c>
      <c r="B1" t="s">
        <v>850</v>
      </c>
    </row>
    <row r="2" spans="1:2" x14ac:dyDescent="0.25">
      <c r="A2" s="36" t="s">
        <v>842</v>
      </c>
      <c r="B2" s="37">
        <v>56</v>
      </c>
    </row>
    <row r="3" spans="1:2" x14ac:dyDescent="0.25">
      <c r="A3" s="36" t="s">
        <v>854</v>
      </c>
      <c r="B3" s="37">
        <v>45</v>
      </c>
    </row>
    <row r="4" spans="1:2" x14ac:dyDescent="0.25">
      <c r="A4" s="36" t="s">
        <v>852</v>
      </c>
      <c r="B4" s="37">
        <v>41</v>
      </c>
    </row>
    <row r="5" spans="1:2" x14ac:dyDescent="0.25">
      <c r="A5" s="36" t="s">
        <v>11</v>
      </c>
      <c r="B5" s="37">
        <v>30</v>
      </c>
    </row>
    <row r="6" spans="1:2" x14ac:dyDescent="0.25">
      <c r="A6" s="36" t="s">
        <v>855</v>
      </c>
      <c r="B6" s="37">
        <v>11</v>
      </c>
    </row>
    <row r="7" spans="1:2" x14ac:dyDescent="0.25">
      <c r="A7" s="36" t="s">
        <v>853</v>
      </c>
      <c r="B7" s="37">
        <v>9</v>
      </c>
    </row>
    <row r="8" spans="1:2" x14ac:dyDescent="0.25">
      <c r="A8" s="36" t="s">
        <v>851</v>
      </c>
      <c r="B8" s="37">
        <v>7</v>
      </c>
    </row>
    <row r="9" spans="1:2" x14ac:dyDescent="0.25">
      <c r="A9" s="36" t="s">
        <v>846</v>
      </c>
      <c r="B9" s="37">
        <v>199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2013-C3A0-4FEA-9FCD-47BA2B92C90F}">
  <dimension ref="A1:B16"/>
  <sheetViews>
    <sheetView workbookViewId="0">
      <selection activeCell="B2" sqref="B2"/>
    </sheetView>
  </sheetViews>
  <sheetFormatPr defaultRowHeight="15" x14ac:dyDescent="0.25"/>
  <cols>
    <col min="1" max="1" width="18.42578125" bestFit="1" customWidth="1"/>
    <col min="2" max="2" width="18.7109375" bestFit="1" customWidth="1"/>
  </cols>
  <sheetData>
    <row r="1" spans="1:2" x14ac:dyDescent="0.25">
      <c r="A1" t="s">
        <v>862</v>
      </c>
    </row>
    <row r="3" spans="1:2" x14ac:dyDescent="0.25">
      <c r="A3" s="35" t="s">
        <v>845</v>
      </c>
      <c r="B3" t="s">
        <v>847</v>
      </c>
    </row>
    <row r="4" spans="1:2" x14ac:dyDescent="0.25">
      <c r="A4" s="36" t="s">
        <v>14</v>
      </c>
      <c r="B4" s="37"/>
    </row>
    <row r="5" spans="1:2" x14ac:dyDescent="0.25">
      <c r="A5" s="38" t="s">
        <v>409</v>
      </c>
      <c r="B5" s="37">
        <v>16.899999999999999</v>
      </c>
    </row>
    <row r="6" spans="1:2" x14ac:dyDescent="0.25">
      <c r="A6" s="38" t="s">
        <v>9</v>
      </c>
      <c r="B6" s="37">
        <v>9.5</v>
      </c>
    </row>
    <row r="7" spans="1:2" x14ac:dyDescent="0.25">
      <c r="A7" s="38" t="s">
        <v>533</v>
      </c>
      <c r="B7" s="37">
        <v>9.3000000000000007</v>
      </c>
    </row>
    <row r="8" spans="1:2" x14ac:dyDescent="0.25">
      <c r="A8" s="38" t="s">
        <v>178</v>
      </c>
      <c r="B8" s="37">
        <v>9.1999999999999993</v>
      </c>
    </row>
    <row r="9" spans="1:2" x14ac:dyDescent="0.25">
      <c r="A9" s="38" t="s">
        <v>41</v>
      </c>
      <c r="B9" s="37">
        <v>9.1</v>
      </c>
    </row>
    <row r="10" spans="1:2" x14ac:dyDescent="0.25">
      <c r="A10" s="38" t="s">
        <v>393</v>
      </c>
      <c r="B10" s="37">
        <v>8.8000000000000007</v>
      </c>
    </row>
    <row r="11" spans="1:2" x14ac:dyDescent="0.25">
      <c r="A11" s="38" t="s">
        <v>137</v>
      </c>
      <c r="B11" s="37">
        <v>8.8000000000000007</v>
      </c>
    </row>
    <row r="12" spans="1:2" x14ac:dyDescent="0.25">
      <c r="A12" s="38" t="s">
        <v>25</v>
      </c>
      <c r="B12" s="37">
        <v>8.8000000000000007</v>
      </c>
    </row>
    <row r="13" spans="1:2" x14ac:dyDescent="0.25">
      <c r="A13" s="38" t="s">
        <v>75</v>
      </c>
      <c r="B13" s="37">
        <v>8.8000000000000007</v>
      </c>
    </row>
    <row r="14" spans="1:2" x14ac:dyDescent="0.25">
      <c r="A14" s="38" t="s">
        <v>35</v>
      </c>
      <c r="B14" s="37">
        <v>8.8000000000000007</v>
      </c>
    </row>
    <row r="15" spans="1:2" x14ac:dyDescent="0.25">
      <c r="A15" s="38" t="s">
        <v>95</v>
      </c>
      <c r="B15" s="37">
        <v>8.8000000000000007</v>
      </c>
    </row>
    <row r="16" spans="1:2" x14ac:dyDescent="0.25">
      <c r="A16" s="36" t="s">
        <v>846</v>
      </c>
      <c r="B16" s="37">
        <v>106.79999999999998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FA3F5-BE78-4824-9176-5A22AEF7A503}">
  <dimension ref="A1:B10"/>
  <sheetViews>
    <sheetView workbookViewId="0">
      <selection activeCell="I12" sqref="I12"/>
    </sheetView>
  </sheetViews>
  <sheetFormatPr defaultRowHeight="15" x14ac:dyDescent="0.25"/>
  <cols>
    <col min="1" max="1" width="13.140625" bestFit="1" customWidth="1"/>
    <col min="2" max="2" width="19.140625" bestFit="1" customWidth="1"/>
  </cols>
  <sheetData>
    <row r="1" spans="1:2" ht="18.75" x14ac:dyDescent="0.25">
      <c r="A1" s="13" t="s">
        <v>858</v>
      </c>
    </row>
    <row r="4" spans="1:2" x14ac:dyDescent="0.25">
      <c r="A4" s="35" t="s">
        <v>845</v>
      </c>
      <c r="B4" t="s">
        <v>848</v>
      </c>
    </row>
    <row r="5" spans="1:2" x14ac:dyDescent="0.25">
      <c r="A5" s="36" t="s">
        <v>26</v>
      </c>
      <c r="B5" s="37">
        <v>347</v>
      </c>
    </row>
    <row r="6" spans="1:2" x14ac:dyDescent="0.25">
      <c r="A6" s="36" t="s">
        <v>10</v>
      </c>
      <c r="B6" s="37">
        <v>356</v>
      </c>
    </row>
    <row r="7" spans="1:2" x14ac:dyDescent="0.25">
      <c r="A7" s="36" t="s">
        <v>48</v>
      </c>
      <c r="B7" s="37">
        <v>165</v>
      </c>
    </row>
    <row r="8" spans="1:2" x14ac:dyDescent="0.25">
      <c r="A8" s="36" t="s">
        <v>368</v>
      </c>
      <c r="B8" s="37">
        <v>21</v>
      </c>
    </row>
    <row r="9" spans="1:2" x14ac:dyDescent="0.25">
      <c r="A9" s="36" t="s">
        <v>694</v>
      </c>
      <c r="B9" s="37">
        <v>10</v>
      </c>
    </row>
    <row r="10" spans="1:2" x14ac:dyDescent="0.25">
      <c r="A10" s="36" t="s">
        <v>846</v>
      </c>
      <c r="B10" s="37">
        <v>899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8B364-230B-46D7-A844-3980CB0734F6}">
  <dimension ref="A3:B61"/>
  <sheetViews>
    <sheetView topLeftCell="A3" workbookViewId="0">
      <selection activeCell="F22" sqref="F22"/>
    </sheetView>
  </sheetViews>
  <sheetFormatPr defaultRowHeight="15" x14ac:dyDescent="0.25"/>
  <cols>
    <col min="1" max="1" width="13.140625" bestFit="1" customWidth="1"/>
    <col min="2" max="2" width="19.140625" bestFit="1" customWidth="1"/>
  </cols>
  <sheetData>
    <row r="3" spans="1:2" x14ac:dyDescent="0.25">
      <c r="A3" s="35" t="s">
        <v>845</v>
      </c>
      <c r="B3" t="s">
        <v>848</v>
      </c>
    </row>
    <row r="4" spans="1:2" x14ac:dyDescent="0.25">
      <c r="A4" s="36">
        <v>1940</v>
      </c>
      <c r="B4" s="37">
        <v>1</v>
      </c>
    </row>
    <row r="5" spans="1:2" x14ac:dyDescent="0.25">
      <c r="A5" s="36">
        <v>1951</v>
      </c>
      <c r="B5" s="37">
        <v>1</v>
      </c>
    </row>
    <row r="6" spans="1:2" x14ac:dyDescent="0.25">
      <c r="A6" s="36">
        <v>1955</v>
      </c>
      <c r="B6" s="37">
        <v>1</v>
      </c>
    </row>
    <row r="7" spans="1:2" x14ac:dyDescent="0.25">
      <c r="A7" s="36">
        <v>1959</v>
      </c>
      <c r="B7" s="37">
        <v>1</v>
      </c>
    </row>
    <row r="8" spans="1:2" x14ac:dyDescent="0.25">
      <c r="A8" s="36">
        <v>1961</v>
      </c>
      <c r="B8" s="37">
        <v>1</v>
      </c>
    </row>
    <row r="9" spans="1:2" x14ac:dyDescent="0.25">
      <c r="A9" s="36">
        <v>1963</v>
      </c>
      <c r="B9" s="37">
        <v>1</v>
      </c>
    </row>
    <row r="10" spans="1:2" x14ac:dyDescent="0.25">
      <c r="A10" s="36">
        <v>1964</v>
      </c>
      <c r="B10" s="37">
        <v>3</v>
      </c>
    </row>
    <row r="11" spans="1:2" x14ac:dyDescent="0.25">
      <c r="A11" s="36">
        <v>1966</v>
      </c>
      <c r="B11" s="37">
        <v>2</v>
      </c>
    </row>
    <row r="12" spans="1:2" x14ac:dyDescent="0.25">
      <c r="A12" s="36">
        <v>1967</v>
      </c>
      <c r="B12" s="37">
        <v>1</v>
      </c>
    </row>
    <row r="13" spans="1:2" x14ac:dyDescent="0.25">
      <c r="A13" s="36">
        <v>1969</v>
      </c>
      <c r="B13" s="37">
        <v>2</v>
      </c>
    </row>
    <row r="14" spans="1:2" x14ac:dyDescent="0.25">
      <c r="A14" s="36">
        <v>1971</v>
      </c>
      <c r="B14" s="37">
        <v>2</v>
      </c>
    </row>
    <row r="15" spans="1:2" x14ac:dyDescent="0.25">
      <c r="A15" s="36">
        <v>1972</v>
      </c>
      <c r="B15" s="37">
        <v>1</v>
      </c>
    </row>
    <row r="16" spans="1:2" x14ac:dyDescent="0.25">
      <c r="A16" s="36">
        <v>1974</v>
      </c>
      <c r="B16" s="37">
        <v>1</v>
      </c>
    </row>
    <row r="17" spans="1:2" x14ac:dyDescent="0.25">
      <c r="A17" s="36">
        <v>1975</v>
      </c>
      <c r="B17" s="37">
        <v>2</v>
      </c>
    </row>
    <row r="18" spans="1:2" x14ac:dyDescent="0.25">
      <c r="A18" s="36">
        <v>1976</v>
      </c>
      <c r="B18" s="37">
        <v>1</v>
      </c>
    </row>
    <row r="19" spans="1:2" x14ac:dyDescent="0.25">
      <c r="A19" s="36">
        <v>1977</v>
      </c>
      <c r="B19" s="37">
        <v>1</v>
      </c>
    </row>
    <row r="20" spans="1:2" x14ac:dyDescent="0.25">
      <c r="A20" s="36">
        <v>1978</v>
      </c>
      <c r="B20" s="37">
        <v>2</v>
      </c>
    </row>
    <row r="21" spans="1:2" x14ac:dyDescent="0.25">
      <c r="A21" s="36">
        <v>1980</v>
      </c>
      <c r="B21" s="37">
        <v>1</v>
      </c>
    </row>
    <row r="22" spans="1:2" x14ac:dyDescent="0.25">
      <c r="A22" s="36">
        <v>1982</v>
      </c>
      <c r="B22" s="37">
        <v>2</v>
      </c>
    </row>
    <row r="23" spans="1:2" x14ac:dyDescent="0.25">
      <c r="A23" s="36">
        <v>1983</v>
      </c>
      <c r="B23" s="37">
        <v>1</v>
      </c>
    </row>
    <row r="24" spans="1:2" x14ac:dyDescent="0.25">
      <c r="A24" s="36">
        <v>1984</v>
      </c>
      <c r="B24" s="37">
        <v>2</v>
      </c>
    </row>
    <row r="25" spans="1:2" x14ac:dyDescent="0.25">
      <c r="A25" s="36">
        <v>1985</v>
      </c>
      <c r="B25" s="37">
        <v>2</v>
      </c>
    </row>
    <row r="26" spans="1:2" x14ac:dyDescent="0.25">
      <c r="A26" s="36">
        <v>1986</v>
      </c>
      <c r="B26" s="37">
        <v>1</v>
      </c>
    </row>
    <row r="27" spans="1:2" x14ac:dyDescent="0.25">
      <c r="A27" s="36">
        <v>1987</v>
      </c>
      <c r="B27" s="37">
        <v>3</v>
      </c>
    </row>
    <row r="28" spans="1:2" x14ac:dyDescent="0.25">
      <c r="A28" s="36">
        <v>1988</v>
      </c>
      <c r="B28" s="37">
        <v>4</v>
      </c>
    </row>
    <row r="29" spans="1:2" x14ac:dyDescent="0.25">
      <c r="A29" s="36">
        <v>1989</v>
      </c>
      <c r="B29" s="37">
        <v>6</v>
      </c>
    </row>
    <row r="30" spans="1:2" x14ac:dyDescent="0.25">
      <c r="A30" s="36">
        <v>1990</v>
      </c>
      <c r="B30" s="37">
        <v>4</v>
      </c>
    </row>
    <row r="31" spans="1:2" x14ac:dyDescent="0.25">
      <c r="A31" s="36">
        <v>1991</v>
      </c>
      <c r="B31" s="37">
        <v>3</v>
      </c>
    </row>
    <row r="32" spans="1:2" x14ac:dyDescent="0.25">
      <c r="A32" s="36">
        <v>1992</v>
      </c>
      <c r="B32" s="37">
        <v>4</v>
      </c>
    </row>
    <row r="33" spans="1:2" x14ac:dyDescent="0.25">
      <c r="A33" s="36">
        <v>1993</v>
      </c>
      <c r="B33" s="37">
        <v>4</v>
      </c>
    </row>
    <row r="34" spans="1:2" x14ac:dyDescent="0.25">
      <c r="A34" s="36">
        <v>1994</v>
      </c>
      <c r="B34" s="37">
        <v>5</v>
      </c>
    </row>
    <row r="35" spans="1:2" x14ac:dyDescent="0.25">
      <c r="A35" s="36">
        <v>1995</v>
      </c>
      <c r="B35" s="37">
        <v>7</v>
      </c>
    </row>
    <row r="36" spans="1:2" x14ac:dyDescent="0.25">
      <c r="A36" s="36">
        <v>1996</v>
      </c>
      <c r="B36" s="37">
        <v>4</v>
      </c>
    </row>
    <row r="37" spans="1:2" x14ac:dyDescent="0.25">
      <c r="A37" s="36">
        <v>1997</v>
      </c>
      <c r="B37" s="37">
        <v>6</v>
      </c>
    </row>
    <row r="38" spans="1:2" x14ac:dyDescent="0.25">
      <c r="A38" s="36">
        <v>1998</v>
      </c>
      <c r="B38" s="37">
        <v>9</v>
      </c>
    </row>
    <row r="39" spans="1:2" x14ac:dyDescent="0.25">
      <c r="A39" s="36">
        <v>1999</v>
      </c>
      <c r="B39" s="37">
        <v>13</v>
      </c>
    </row>
    <row r="40" spans="1:2" x14ac:dyDescent="0.25">
      <c r="A40" s="36">
        <v>2000</v>
      </c>
      <c r="B40" s="37">
        <v>7</v>
      </c>
    </row>
    <row r="41" spans="1:2" x14ac:dyDescent="0.25">
      <c r="A41" s="36">
        <v>2001</v>
      </c>
      <c r="B41" s="37">
        <v>12</v>
      </c>
    </row>
    <row r="42" spans="1:2" x14ac:dyDescent="0.25">
      <c r="A42" s="36">
        <v>2002</v>
      </c>
      <c r="B42" s="37">
        <v>8</v>
      </c>
    </row>
    <row r="43" spans="1:2" x14ac:dyDescent="0.25">
      <c r="A43" s="36">
        <v>2003</v>
      </c>
      <c r="B43" s="37">
        <v>18</v>
      </c>
    </row>
    <row r="44" spans="1:2" x14ac:dyDescent="0.25">
      <c r="A44" s="36">
        <v>2004</v>
      </c>
      <c r="B44" s="37">
        <v>21</v>
      </c>
    </row>
    <row r="45" spans="1:2" x14ac:dyDescent="0.25">
      <c r="A45" s="36">
        <v>2005</v>
      </c>
      <c r="B45" s="37">
        <v>25</v>
      </c>
    </row>
    <row r="46" spans="1:2" x14ac:dyDescent="0.25">
      <c r="A46" s="36">
        <v>2006</v>
      </c>
      <c r="B46" s="37">
        <v>19</v>
      </c>
    </row>
    <row r="47" spans="1:2" x14ac:dyDescent="0.25">
      <c r="A47" s="36">
        <v>2007</v>
      </c>
      <c r="B47" s="37">
        <v>18</v>
      </c>
    </row>
    <row r="48" spans="1:2" x14ac:dyDescent="0.25">
      <c r="A48" s="36">
        <v>2008</v>
      </c>
      <c r="B48" s="37">
        <v>17</v>
      </c>
    </row>
    <row r="49" spans="1:2" x14ac:dyDescent="0.25">
      <c r="A49" s="36">
        <v>2009</v>
      </c>
      <c r="B49" s="37">
        <v>34</v>
      </c>
    </row>
    <row r="50" spans="1:2" x14ac:dyDescent="0.25">
      <c r="A50" s="36">
        <v>2010</v>
      </c>
      <c r="B50" s="37">
        <v>29</v>
      </c>
    </row>
    <row r="51" spans="1:2" x14ac:dyDescent="0.25">
      <c r="A51" s="36">
        <v>2011</v>
      </c>
      <c r="B51" s="37">
        <v>43</v>
      </c>
    </row>
    <row r="52" spans="1:2" x14ac:dyDescent="0.25">
      <c r="A52" s="36">
        <v>2012</v>
      </c>
      <c r="B52" s="37">
        <v>34</v>
      </c>
    </row>
    <row r="53" spans="1:2" x14ac:dyDescent="0.25">
      <c r="A53" s="36">
        <v>2013</v>
      </c>
      <c r="B53" s="37">
        <v>45</v>
      </c>
    </row>
    <row r="54" spans="1:2" x14ac:dyDescent="0.25">
      <c r="A54" s="36">
        <v>2014</v>
      </c>
      <c r="B54" s="37">
        <v>56</v>
      </c>
    </row>
    <row r="55" spans="1:2" x14ac:dyDescent="0.25">
      <c r="A55" s="36">
        <v>2015</v>
      </c>
      <c r="B55" s="37">
        <v>71</v>
      </c>
    </row>
    <row r="56" spans="1:2" x14ac:dyDescent="0.25">
      <c r="A56" s="36">
        <v>2016</v>
      </c>
      <c r="B56" s="37">
        <v>64</v>
      </c>
    </row>
    <row r="57" spans="1:2" x14ac:dyDescent="0.25">
      <c r="A57" s="36">
        <v>2017</v>
      </c>
      <c r="B57" s="37">
        <v>59</v>
      </c>
    </row>
    <row r="58" spans="1:2" x14ac:dyDescent="0.25">
      <c r="A58" s="36">
        <v>2018</v>
      </c>
      <c r="B58" s="37">
        <v>71</v>
      </c>
    </row>
    <row r="59" spans="1:2" x14ac:dyDescent="0.25">
      <c r="A59" s="36">
        <v>2019</v>
      </c>
      <c r="B59" s="37">
        <v>75</v>
      </c>
    </row>
    <row r="60" spans="1:2" x14ac:dyDescent="0.25">
      <c r="A60" s="36">
        <v>2020</v>
      </c>
      <c r="B60" s="37">
        <v>68</v>
      </c>
    </row>
    <row r="61" spans="1:2" x14ac:dyDescent="0.25">
      <c r="A61" s="36" t="s">
        <v>846</v>
      </c>
      <c r="B61" s="37">
        <v>899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8383-4359-4E7B-BCBE-A62553194013}">
  <dimension ref="A1:F4"/>
  <sheetViews>
    <sheetView showGridLines="0" zoomScale="80" zoomScaleNormal="80" workbookViewId="0">
      <selection sqref="A1:F4"/>
    </sheetView>
  </sheetViews>
  <sheetFormatPr defaultRowHeight="15" x14ac:dyDescent="0.25"/>
  <sheetData>
    <row r="1" spans="1:6" ht="15" customHeight="1" x14ac:dyDescent="0.25">
      <c r="A1" s="48" t="s">
        <v>863</v>
      </c>
      <c r="B1" s="49"/>
      <c r="C1" s="49"/>
      <c r="D1" s="49"/>
      <c r="E1" s="49"/>
      <c r="F1" s="50"/>
    </row>
    <row r="2" spans="1:6" x14ac:dyDescent="0.25">
      <c r="A2" s="51"/>
      <c r="B2" s="52"/>
      <c r="C2" s="52"/>
      <c r="D2" s="52"/>
      <c r="E2" s="52"/>
      <c r="F2" s="53"/>
    </row>
    <row r="3" spans="1:6" x14ac:dyDescent="0.25">
      <c r="A3" s="51"/>
      <c r="B3" s="52"/>
      <c r="C3" s="52"/>
      <c r="D3" s="52"/>
      <c r="E3" s="52"/>
      <c r="F3" s="53"/>
    </row>
    <row r="4" spans="1:6" ht="15.75" thickBot="1" x14ac:dyDescent="0.3">
      <c r="A4" s="54"/>
      <c r="B4" s="55"/>
      <c r="C4" s="55"/>
      <c r="D4" s="55"/>
      <c r="E4" s="55"/>
      <c r="F4" s="56"/>
    </row>
  </sheetData>
  <mergeCells count="1">
    <mergeCell ref="A1:F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vt:i4>
      </vt:variant>
    </vt:vector>
  </HeadingPairs>
  <TitlesOfParts>
    <vt:vector size="22" baseType="lpstr">
      <vt:lpstr>All_Streaming_Shows</vt:lpstr>
      <vt:lpstr>Formula&amp;Function</vt:lpstr>
      <vt:lpstr>Conditional Function</vt:lpstr>
      <vt:lpstr>Vlookup</vt:lpstr>
      <vt:lpstr>For Hlookup</vt:lpstr>
      <vt:lpstr>Hlookup</vt:lpstr>
      <vt:lpstr>Index+Match</vt:lpstr>
      <vt:lpstr>Conditional Formatting</vt:lpstr>
      <vt:lpstr>Sort&amp;Filter</vt:lpstr>
      <vt:lpstr>Pivot</vt:lpstr>
      <vt:lpstr>Ans 1</vt:lpstr>
      <vt:lpstr>Ans 2</vt:lpstr>
      <vt:lpstr>Ans 3</vt:lpstr>
      <vt:lpstr>Ans 4</vt:lpstr>
      <vt:lpstr>Ans 5</vt:lpstr>
      <vt:lpstr>Ans 6</vt:lpstr>
      <vt:lpstr>Ans 7</vt:lpstr>
      <vt:lpstr>Dashboard</vt:lpstr>
      <vt:lpstr>'Sort&amp;Filter'!Criteria</vt:lpstr>
      <vt:lpstr>'Sort&amp;Filter'!Extract</vt:lpstr>
      <vt:lpstr>series</vt:lpstr>
      <vt:lpstr>seriesH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Sudeshna Dutta</dc:creator>
  <cp:lastModifiedBy>Sudeshna Dutta</cp:lastModifiedBy>
  <dcterms:created xsi:type="dcterms:W3CDTF">2025-12-13T16:47:22Z</dcterms:created>
  <dcterms:modified xsi:type="dcterms:W3CDTF">2025-12-16T17:02:15Z</dcterms:modified>
</cp:coreProperties>
</file>