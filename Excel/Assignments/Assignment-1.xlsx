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9019CB1E-BAD0-438F-84BD-F6AC07D2F9C6}" xr6:coauthVersionLast="47" xr6:coauthVersionMax="47" xr10:uidLastSave="{00000000-0000-0000-0000-000000000000}"/>
  <bookViews>
    <workbookView xWindow="-120" yWindow="-120" windowWidth="20730" windowHeight="11160" xr2:uid="{A49F7013-3886-4F48-900A-39A956AF6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N7" i="1"/>
  <c r="N8" i="1"/>
  <c r="N9" i="1"/>
  <c r="N10" i="1"/>
  <c r="N11" i="1"/>
  <c r="N6" i="1"/>
  <c r="I6" i="1"/>
  <c r="M7" i="1"/>
  <c r="M8" i="1"/>
  <c r="M9" i="1"/>
  <c r="M10" i="1"/>
  <c r="M11" i="1"/>
  <c r="M6" i="1"/>
  <c r="L7" i="1"/>
  <c r="L8" i="1"/>
  <c r="L9" i="1"/>
  <c r="L10" i="1"/>
  <c r="L11" i="1"/>
  <c r="L6" i="1"/>
  <c r="K7" i="1"/>
  <c r="K8" i="1"/>
  <c r="K9" i="1"/>
  <c r="K10" i="1"/>
  <c r="K11" i="1"/>
  <c r="K6" i="1"/>
  <c r="J8" i="1"/>
  <c r="J10" i="1"/>
  <c r="J7" i="1"/>
  <c r="J9" i="1"/>
  <c r="J11" i="1"/>
  <c r="J6" i="1"/>
  <c r="I7" i="1"/>
  <c r="I8" i="1"/>
  <c r="I9" i="1"/>
  <c r="I10" i="1"/>
  <c r="I11" i="1"/>
  <c r="H7" i="1"/>
  <c r="H8" i="1"/>
  <c r="H9" i="1"/>
  <c r="H10" i="1"/>
  <c r="H11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<sst xmlns="http://schemas.openxmlformats.org/spreadsheetml/2006/main" count="26" uniqueCount="23">
  <si>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</si>
  <si>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</si>
  <si>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</si>
  <si>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</si>
  <si>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</si>
  <si>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</si>
  <si>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</si>
  <si>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</si>
  <si>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</si>
  <si>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</si>
  <si>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</si>
  <si>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</si>
  <si>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</si>
  <si>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</si>
  <si>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</si>
  <si>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Complete</t>
  </si>
  <si>
    <t>Bonus</t>
  </si>
  <si>
    <t>Commission</t>
  </si>
  <si>
    <t>Performance</t>
  </si>
  <si>
    <t>Price Tier</t>
  </si>
  <si>
    <t>yearEndBonus</t>
  </si>
  <si>
    <t>Performer</t>
  </si>
  <si>
    <t>Assignment-1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</si>
</sst>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224F-063E-4494-90BD-CF8D8D26E513}">
  <dimension ref="B1:N11"/>
  <sheetViews>
    <sheetView tabSelected="1" zoomScale="120" zoomScaleNormal="120" workbookViewId="0">
      <selection activeCell="G2" sqref="G2:J3"/>
    </sheetView>
  </sheetViews>
  <sheetFormatPr defaultRowHeight="15" x14ac:dyDescent="0.25"/>
  <cols>
    <col min="1" max="1" width="4.85546875" customWidth="1"/>
    <col min="2" max="3" width="9.7109375" bestFit="1" customWidth="1"/>
    <col min="4" max="4" width="6.85546875" bestFit="1" customWidth="1"/>
    <col min="5" max="5" width="7.28515625" bestFit="1" customWidth="1"/>
    <col min="6" max="6" width="15.85546875" bestFit="1" customWidth="1"/>
    <col min="7" max="7" width="16.140625" bestFit="1" customWidth="1"/>
    <col min="8" max="9" width="12" bestFit="1" customWidth="1"/>
    <col min="10" max="11" width="18.7109375" bestFit="1" customWidth="1"/>
    <col min="12" max="12" width="13.7109375" bestFit="1" customWidth="1"/>
    <col min="13" max="13" width="19.5703125" bestFit="1" customWidth="1"/>
    <col min="14" max="14" width="20" bestFit="1" customWidth="1"/>
  </cols>
  <sheetData>
    <row r="1" spans="2:14" ht="15.75" thickBot="1" x14ac:dyDescent="0.3"/>
    <row r="2" spans="2:14" ht="15" customHeight="1" x14ac:dyDescent="0.25">
      <c r="G2" s="1" t="s">
        <v>22</v>
      </c>
      <c r="H2" s="4"/>
      <c r="I2" s="4"/>
      <c r="J2" s="5"/>
      <c r="K2" s="2"/>
    </row>
    <row r="3" spans="2:14" ht="15.75" thickBot="1" x14ac:dyDescent="0.3">
      <c r="F3" s="3"/>
      <c r="G3" s="6"/>
      <c r="H3" s="7"/>
      <c r="I3" s="7"/>
      <c r="J3" s="8"/>
      <c r="K3" s="2"/>
    </row>
    <row r="5" spans="2:14" x14ac:dyDescent="0.25">
      <c r="B5" s="9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10" t="s">
        <v>15</v>
      </c>
      <c r="H5" s="10" t="s">
        <v>16</v>
      </c>
      <c r="I5" s="10" t="s">
        <v>17</v>
      </c>
      <c r="J5" s="10" t="s">
        <v>16</v>
      </c>
      <c r="K5" s="10" t="s">
        <v>18</v>
      </c>
      <c r="L5" s="10" t="s">
        <v>19</v>
      </c>
      <c r="M5" s="10" t="s">
        <v>20</v>
      </c>
      <c r="N5" s="10" t="s">
        <v>21</v>
      </c>
    </row>
    <row r="6" spans="2:14" x14ac:dyDescent="0.25">
      <c r="B6" s="11">
        <v>101</v>
      </c>
      <c r="C6" s="11" t="s">
        <v>5</v>
      </c>
      <c r="D6" s="11">
        <v>120</v>
      </c>
      <c r="E6" s="11">
        <v>150</v>
      </c>
      <c r="F6" s="11" t="s">
        <v>11</v>
      </c>
      <c r="G6" s="12" t="str">
        <f>IF(AND(D6&gt;=E6),"Yes","No")</f>
        <v>No</v>
      </c>
      <c r="H6" s="12" t="str">
        <f>IF(AND(F6="North",D6&gt;=200),"Eligible","Not Eligible")</f>
        <v>Not Eligible</v>
      </c>
      <c r="I6" s="12" t="str">
        <f>IF(D6&gt;=200,"10%",IF(D6&gt;=150,"7%","5%"))</f>
        <v>5%</v>
      </c>
      <c r="J6" s="12">
        <f>IF(D6&gt;=E6,0.1*D6,0.05*D6)</f>
        <v>6</v>
      </c>
      <c r="K6" s="12" t="str">
        <f>IF(D6&gt;=200,"Excellent",IF(D6&gt;=150,"Good","Need Improvement"))</f>
        <v>Need Improvement</v>
      </c>
      <c r="L6" s="12" t="str">
        <f>IF(D6&gt;200,"High",IF(AND(D6&gt;100,D6&lt;200),"Medium","low"))</f>
        <v>Medium</v>
      </c>
      <c r="M6" s="12">
        <f>IF(AND(D6&gt;=150,F6="North"),500,300)</f>
        <v>300</v>
      </c>
      <c r="N6" s="12" t="str">
        <f>IF(D6 &gt;= PERCENTILE($D$6:$D$11, 0.75), "High Performer", "Not a High Performer")</f>
        <v>Not a High Performer</v>
      </c>
    </row>
    <row r="7" spans="2:14" x14ac:dyDescent="0.25">
      <c r="B7" s="11">
        <v>102</v>
      </c>
      <c r="C7" s="11" t="s">
        <v>6</v>
      </c>
      <c r="D7" s="11">
        <v>150</v>
      </c>
      <c r="E7" s="11">
        <v>140</v>
      </c>
      <c r="F7" s="11" t="s">
        <v>12</v>
      </c>
      <c r="G7" s="12" t="str">
        <f t="shared" ref="G7:G11" si="0">IF(AND(D7&gt;=E7),"Yes","No")</f>
        <v>Yes</v>
      </c>
      <c r="H7" s="12" t="str">
        <f t="shared" ref="H7:H11" si="1">IF(AND(F7="North",D7&gt;=200),"Eligible","Not Eligible")</f>
        <v>Not Eligible</v>
      </c>
      <c r="I7" s="12" t="str">
        <f t="shared" ref="I7:I11" si="2">IF(D7&gt;=200,"10%",IF(D7&gt;=150,"7%","5%"))</f>
        <v>7%</v>
      </c>
      <c r="J7" s="12">
        <f t="shared" ref="J7:J11" si="3">IF(D7&gt;=E7,0.1*D7,0.05*D7)</f>
        <v>15</v>
      </c>
      <c r="K7" s="12" t="str">
        <f t="shared" ref="K7:K11" si="4">IF(D7&gt;=200,"Excellent",IF(D7&gt;=150,"Good","Need Improvement"))</f>
        <v>Good</v>
      </c>
      <c r="L7" s="12" t="str">
        <f t="shared" ref="L7:L11" si="5">IF(D7&gt;200,"High",IF(AND(D7&gt;100,D7&lt;200),"Medium","low"))</f>
        <v>Medium</v>
      </c>
      <c r="M7" s="12">
        <f t="shared" ref="M7:M11" si="6">IF(AND(D7&gt;=150,F7="North"),500,300)</f>
        <v>300</v>
      </c>
      <c r="N7" s="12" t="str">
        <f>IF(D7 &gt;= PERCENTILE($D$6:$D$11, 0.75), "High Performer", "Not a High Performer")</f>
        <v>Not a High Performer</v>
      </c>
    </row>
    <row r="8" spans="2:14" x14ac:dyDescent="0.25">
      <c r="B8" s="11">
        <v>103</v>
      </c>
      <c r="C8" s="11" t="s">
        <v>7</v>
      </c>
      <c r="D8" s="11">
        <v>200</v>
      </c>
      <c r="E8" s="11">
        <v>200</v>
      </c>
      <c r="F8" s="11" t="s">
        <v>13</v>
      </c>
      <c r="G8" s="12" t="str">
        <f t="shared" si="0"/>
        <v>Yes</v>
      </c>
      <c r="H8" s="12" t="str">
        <f t="shared" si="1"/>
        <v>Not Eligible</v>
      </c>
      <c r="I8" s="12" t="str">
        <f t="shared" si="2"/>
        <v>10%</v>
      </c>
      <c r="J8" s="12">
        <f>IF(D8&gt;=E8,0.1*D8,0.05*D8)</f>
        <v>20</v>
      </c>
      <c r="K8" s="12" t="str">
        <f t="shared" si="4"/>
        <v>Excellent</v>
      </c>
      <c r="L8" s="12" t="str">
        <f t="shared" si="5"/>
        <v>low</v>
      </c>
      <c r="M8" s="12">
        <f t="shared" si="6"/>
        <v>300</v>
      </c>
      <c r="N8" s="12" t="str">
        <f>IF(D8 &gt;= PERCENTILE($D$6:$D$11, 0.75), "High Performer", "Not a High Performer")</f>
        <v>High Performer</v>
      </c>
    </row>
    <row r="9" spans="2:14" x14ac:dyDescent="0.25">
      <c r="B9" s="11">
        <v>104</v>
      </c>
      <c r="C9" s="11" t="s">
        <v>8</v>
      </c>
      <c r="D9" s="11">
        <v>90</v>
      </c>
      <c r="E9" s="11">
        <v>100</v>
      </c>
      <c r="F9" s="11" t="s">
        <v>14</v>
      </c>
      <c r="G9" s="12" t="str">
        <f t="shared" si="0"/>
        <v>No</v>
      </c>
      <c r="H9" s="12" t="str">
        <f t="shared" si="1"/>
        <v>Not Eligible</v>
      </c>
      <c r="I9" s="12" t="str">
        <f t="shared" si="2"/>
        <v>5%</v>
      </c>
      <c r="J9" s="12">
        <f t="shared" si="3"/>
        <v>4.5</v>
      </c>
      <c r="K9" s="12" t="str">
        <f t="shared" si="4"/>
        <v>Need Improvement</v>
      </c>
      <c r="L9" s="12" t="str">
        <f t="shared" si="5"/>
        <v>low</v>
      </c>
      <c r="M9" s="12">
        <f t="shared" si="6"/>
        <v>300</v>
      </c>
      <c r="N9" s="12" t="str">
        <f>IF(D9 &gt;= PERCENTILE($D$6:$D$11, 0.75), "High Performer", "Not a High Performer")</f>
        <v>Not a High Performer</v>
      </c>
    </row>
    <row r="10" spans="2:14" x14ac:dyDescent="0.25">
      <c r="B10" s="11">
        <v>105</v>
      </c>
      <c r="C10" s="11" t="s">
        <v>9</v>
      </c>
      <c r="D10" s="11">
        <v>220</v>
      </c>
      <c r="E10" s="11">
        <v>210</v>
      </c>
      <c r="F10" s="11" t="s">
        <v>11</v>
      </c>
      <c r="G10" s="12" t="str">
        <f t="shared" si="0"/>
        <v>Yes</v>
      </c>
      <c r="H10" s="12" t="str">
        <f t="shared" si="1"/>
        <v>Eligible</v>
      </c>
      <c r="I10" s="12" t="str">
        <f t="shared" si="2"/>
        <v>10%</v>
      </c>
      <c r="J10" s="12">
        <f>IF(D10&gt;=E10,0.1*D10,0.05*D10)</f>
        <v>22</v>
      </c>
      <c r="K10" s="12" t="str">
        <f t="shared" si="4"/>
        <v>Excellent</v>
      </c>
      <c r="L10" s="12" t="str">
        <f t="shared" si="5"/>
        <v>High</v>
      </c>
      <c r="M10" s="12">
        <f t="shared" si="6"/>
        <v>500</v>
      </c>
      <c r="N10" s="12" t="str">
        <f>IF(D10 &gt;= PERCENTILE($D$6:$D$11, 0.75), "High Performer", "Not a High Performer")</f>
        <v>High Performer</v>
      </c>
    </row>
    <row r="11" spans="2:14" x14ac:dyDescent="0.25">
      <c r="B11" s="11">
        <v>106</v>
      </c>
      <c r="C11" s="11" t="s">
        <v>10</v>
      </c>
      <c r="D11" s="11">
        <v>130</v>
      </c>
      <c r="E11" s="11">
        <v>160</v>
      </c>
      <c r="F11" s="11" t="s">
        <v>12</v>
      </c>
      <c r="G11" s="12" t="str">
        <f t="shared" si="0"/>
        <v>No</v>
      </c>
      <c r="H11" s="12" t="str">
        <f t="shared" si="1"/>
        <v>Not Eligible</v>
      </c>
      <c r="I11" s="12" t="str">
        <f t="shared" si="2"/>
        <v>5%</v>
      </c>
      <c r="J11" s="12">
        <f t="shared" si="3"/>
        <v>6.5</v>
      </c>
      <c r="K11" s="12" t="str">
        <f t="shared" si="4"/>
        <v>Need Improvement</v>
      </c>
      <c r="L11" s="12" t="str">
        <f t="shared" si="5"/>
        <v>Medium</v>
      </c>
      <c r="M11" s="12">
        <f t="shared" si="6"/>
        <v>300</v>
      </c>
      <c r="N11" s="12" t="str">
        <f>IF(D11 &gt;= PERCENTILE($D$6:$D$11, 0.75), "High Performer", "Not a High Performer")</f>
        <v>Not a High Performer</v>
      </c>
    </row>
  </sheetData>
  <mergeCells count="1">
    <mergeCell ref="G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2025-11-22T14:23:11Z</dcterms:created>
  <dcterms:modified xsi:type="dcterms:W3CDTF">2025-11-26T11:57:39Z</dcterms:modified>
</cp:coreProperties>
</file>