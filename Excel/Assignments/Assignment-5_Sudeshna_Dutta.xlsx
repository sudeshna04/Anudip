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17C5F16E-E0F7-4BFB-8DAA-B85536F7D0B3}" xr6:coauthVersionLast="47" xr6:coauthVersionMax="47" xr10:uidLastSave="{00000000-0000-0000-0000-000000000000}"/>
  <bookViews>
    <workbookView xWindow="-120" yWindow="-120" windowWidth="20730" windowHeight="11160" xr2:uid="{7FF3FFDF-857B-4B48-92F5-5D7122AE1344}"/>
  </bookViews>
  <sheets>
    <sheet name="SalesData" sheetId="1" r:id="rId1"/>
  </sheets>
  <definedNames>
    <definedName name="Sales">SalesData!$E$11:$L$17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" i="1" l="1" a="1"/>
  <c r="P22" i="1" s="1"/>
  <c r="L22" i="1"/>
  <c r="F22" i="1"/>
  <c r="C28" i="1"/>
  <c r="I22" i="1"/>
  <c r="G28" i="1"/>
  <c r="K29" i="1"/>
  <c r="C2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<sst xmlns="http://schemas.openxmlformats.org/spreadsheetml/2006/main" count="57" uniqueCount="32">
  <si>
    <t>Sales Data</t>
  </si>
  <si>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</si>
  <si>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</si>
  <si>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</si>
  <si>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</si>
  <si>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</si>
  <si>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</si>
  <si>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</si>
  <si>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</si>
  <si>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</si>
  <si>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</si>
  <si>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</si>
  <si>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</si>
  <si>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</si>
  <si>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</si>
  <si>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</si>
  <si>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</si>
  <si>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</si>
  <si>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Max Sale</t>
  </si>
  <si>
    <t>MaxSale Month</t>
  </si>
  <si>
    <t>Month</t>
  </si>
  <si>
    <t>Sales</t>
  </si>
  <si>
    <t>Month Sales</t>
  </si>
  <si>
    <t>Answer 1</t>
  </si>
  <si>
    <t>Answer 4</t>
  </si>
  <si>
    <t>Answer 2</t>
  </si>
  <si>
    <t>Answer 3</t>
  </si>
  <si>
    <t>Answer 5</t>
  </si>
  <si>
    <t>Answer 6</t>
  </si>
  <si>
    <t>Answer 7</t>
  </si>
  <si>
    <t>Answer 8</t>
  </si>
  <si>
    <t>ASSIGNMENT-5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</si>
</sst>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4" borderId="1" xfId="0" applyFill="1" applyBorder="1"/>
    <xf numFmtId="0" fontId="1" fillId="6" borderId="1" xfId="0" applyFont="1" applyFill="1" applyBorder="1" applyAlignment="1">
      <alignment horizontal="center"/>
    </xf>
    <xf numFmtId="0" fontId="0" fillId="3" borderId="1" xfId="0" applyFill="1" applyBorder="1"/>
    <xf numFmtId="0" fontId="1" fillId="6" borderId="10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wrapText="1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BF07-A084-49F1-BFD5-3E65B3525032}">
  <dimension ref="B2:Q29"/>
  <sheetViews>
    <sheetView tabSelected="1" workbookViewId="0">
      <selection activeCell="C6" sqref="C6"/>
    </sheetView>
  </sheetViews>
  <sheetFormatPr defaultRowHeight="15" x14ac:dyDescent="0.25"/>
  <cols>
    <col min="2" max="2" width="10.42578125" customWidth="1"/>
    <col min="3" max="3" width="12" bestFit="1" customWidth="1"/>
    <col min="4" max="4" width="10.5703125" bestFit="1" customWidth="1"/>
    <col min="5" max="5" width="9.7109375" bestFit="1" customWidth="1"/>
    <col min="6" max="6" width="9.5703125" customWidth="1"/>
    <col min="7" max="7" width="10.5703125" bestFit="1" customWidth="1"/>
    <col min="8" max="8" width="9.7109375" customWidth="1"/>
    <col min="9" max="9" width="10.28515625" customWidth="1"/>
    <col min="10" max="10" width="9.5703125" bestFit="1" customWidth="1"/>
    <col min="12" max="12" width="15.140625" bestFit="1" customWidth="1"/>
    <col min="14" max="14" width="10.5703125" bestFit="1" customWidth="1"/>
    <col min="15" max="15" width="15.140625" bestFit="1" customWidth="1"/>
  </cols>
  <sheetData>
    <row r="2" spans="3:14" ht="15" customHeight="1" thickBot="1" x14ac:dyDescent="0.3"/>
    <row r="3" spans="3:14" ht="15" customHeight="1" x14ac:dyDescent="0.25">
      <c r="C3" s="8" t="s">
        <v>31</v>
      </c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3:14" ht="15" customHeight="1" x14ac:dyDescent="0.25"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3:14" ht="21" customHeight="1" thickBot="1" x14ac:dyDescent="0.3"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8" spans="3:14" ht="21" customHeight="1" x14ac:dyDescent="0.25">
      <c r="E8" s="21" t="s">
        <v>0</v>
      </c>
      <c r="F8" s="22"/>
      <c r="G8" s="22"/>
      <c r="H8" s="22"/>
      <c r="I8" s="22"/>
      <c r="J8" s="22"/>
      <c r="K8" s="22"/>
      <c r="L8" s="23"/>
    </row>
    <row r="9" spans="3:14" ht="15" customHeight="1" x14ac:dyDescent="0.25">
      <c r="E9" s="24"/>
      <c r="F9" s="25"/>
      <c r="G9" s="25"/>
      <c r="H9" s="25"/>
      <c r="I9" s="25"/>
      <c r="J9" s="25"/>
      <c r="K9" s="25"/>
      <c r="L9" s="26"/>
    </row>
    <row r="10" spans="3:14" ht="15" customHeight="1" x14ac:dyDescent="0.25"/>
    <row r="11" spans="3:14" x14ac:dyDescent="0.25">
      <c r="E11" s="1" t="s">
        <v>1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</row>
    <row r="12" spans="3:14" x14ac:dyDescent="0.25">
      <c r="E12" s="2">
        <v>101</v>
      </c>
      <c r="F12" s="2" t="s">
        <v>9</v>
      </c>
      <c r="G12" s="2" t="s">
        <v>15</v>
      </c>
      <c r="H12" s="2">
        <v>120</v>
      </c>
      <c r="I12" s="2">
        <v>130</v>
      </c>
      <c r="J12" s="2">
        <v>140</v>
      </c>
      <c r="K12" s="2">
        <v>150</v>
      </c>
      <c r="L12" s="2">
        <v>160</v>
      </c>
    </row>
    <row r="13" spans="3:14" x14ac:dyDescent="0.25">
      <c r="E13" s="2">
        <v>102</v>
      </c>
      <c r="F13" s="2" t="s">
        <v>10</v>
      </c>
      <c r="G13" s="2" t="s">
        <v>16</v>
      </c>
      <c r="H13" s="2">
        <v>150</v>
      </c>
      <c r="I13" s="2">
        <v>160</v>
      </c>
      <c r="J13" s="2">
        <v>170</v>
      </c>
      <c r="K13" s="2">
        <v>180</v>
      </c>
      <c r="L13" s="2">
        <v>190</v>
      </c>
    </row>
    <row r="14" spans="3:14" x14ac:dyDescent="0.25">
      <c r="E14" s="2">
        <v>103</v>
      </c>
      <c r="F14" s="2" t="s">
        <v>11</v>
      </c>
      <c r="G14" s="2" t="s">
        <v>15</v>
      </c>
      <c r="H14" s="2">
        <v>200</v>
      </c>
      <c r="I14" s="2">
        <v>210</v>
      </c>
      <c r="J14" s="2">
        <v>220</v>
      </c>
      <c r="K14" s="2">
        <v>230</v>
      </c>
      <c r="L14" s="2">
        <v>240</v>
      </c>
    </row>
    <row r="15" spans="3:14" x14ac:dyDescent="0.25">
      <c r="E15" s="2">
        <v>104</v>
      </c>
      <c r="F15" s="2" t="s">
        <v>12</v>
      </c>
      <c r="G15" s="2" t="s">
        <v>17</v>
      </c>
      <c r="H15" s="2">
        <v>90</v>
      </c>
      <c r="I15" s="2">
        <v>100</v>
      </c>
      <c r="J15" s="2">
        <v>110</v>
      </c>
      <c r="K15" s="2">
        <v>120</v>
      </c>
      <c r="L15" s="2">
        <v>130</v>
      </c>
    </row>
    <row r="16" spans="3:14" x14ac:dyDescent="0.25">
      <c r="E16" s="2">
        <v>105</v>
      </c>
      <c r="F16" s="2" t="s">
        <v>13</v>
      </c>
      <c r="G16" s="2" t="s">
        <v>16</v>
      </c>
      <c r="H16" s="2">
        <v>220</v>
      </c>
      <c r="I16" s="2">
        <v>230</v>
      </c>
      <c r="J16" s="2">
        <v>240</v>
      </c>
      <c r="K16" s="2">
        <v>250</v>
      </c>
      <c r="L16" s="2">
        <v>260</v>
      </c>
    </row>
    <row r="17" spans="2:17" x14ac:dyDescent="0.25">
      <c r="E17" s="2">
        <v>106</v>
      </c>
      <c r="F17" s="2" t="s">
        <v>14</v>
      </c>
      <c r="G17" s="2" t="s">
        <v>15</v>
      </c>
      <c r="H17" s="2">
        <v>130</v>
      </c>
      <c r="I17" s="2">
        <v>140</v>
      </c>
      <c r="J17" s="2">
        <v>150</v>
      </c>
      <c r="K17" s="2">
        <v>160</v>
      </c>
      <c r="L17" s="2">
        <v>170</v>
      </c>
    </row>
    <row r="18" spans="2:17" s="7" customFormat="1" x14ac:dyDescent="0.25"/>
    <row r="20" spans="2:17" x14ac:dyDescent="0.25">
      <c r="B20" s="17" t="s">
        <v>23</v>
      </c>
      <c r="C20" s="17"/>
      <c r="E20" s="17" t="s">
        <v>25</v>
      </c>
      <c r="F20" s="17"/>
      <c r="H20" s="17" t="s">
        <v>26</v>
      </c>
      <c r="I20" s="17"/>
      <c r="K20" s="17" t="s">
        <v>24</v>
      </c>
      <c r="L20" s="17"/>
      <c r="N20" s="18" t="s">
        <v>27</v>
      </c>
      <c r="O20" s="18"/>
      <c r="P20" s="18"/>
    </row>
    <row r="21" spans="2:17" x14ac:dyDescent="0.25">
      <c r="B21" s="3" t="s">
        <v>2</v>
      </c>
      <c r="C21" s="3" t="s">
        <v>6</v>
      </c>
      <c r="E21" s="3" t="s">
        <v>2</v>
      </c>
      <c r="F21" s="3" t="s">
        <v>3</v>
      </c>
      <c r="H21" s="3" t="s">
        <v>2</v>
      </c>
      <c r="I21" s="3" t="s">
        <v>18</v>
      </c>
      <c r="K21" s="3" t="s">
        <v>2</v>
      </c>
      <c r="L21" s="3" t="s">
        <v>19</v>
      </c>
      <c r="N21" s="3" t="s">
        <v>3</v>
      </c>
      <c r="O21" s="3" t="s">
        <v>20</v>
      </c>
      <c r="P21" s="5" t="s">
        <v>21</v>
      </c>
    </row>
    <row r="22" spans="2:17" x14ac:dyDescent="0.25">
      <c r="B22" s="2" t="s">
        <v>11</v>
      </c>
      <c r="C22" s="4">
        <f>INDEX(Sales,MATCH(B22,$F$11:$F$17,0),MATCH(C21,$E$11:$L$11,0))</f>
        <v>220</v>
      </c>
      <c r="E22" s="2" t="s">
        <v>13</v>
      </c>
      <c r="F22" s="4" t="str">
        <f>INDEX(Sales,MATCH(E22,$F$11:$F$17,0),MATCH(F21,$E$11:$L$11,0))</f>
        <v>Furniture</v>
      </c>
      <c r="H22" s="2" t="s">
        <v>10</v>
      </c>
      <c r="I22" s="4">
        <f>MAX(INDEX($E$12:$L$17,MATCH(H22,$F$12:$F$17,0),))</f>
        <v>190</v>
      </c>
      <c r="K22" s="2" t="s">
        <v>9</v>
      </c>
      <c r="L22" s="4" t="str">
        <f>LEFT(INDEX(H11:L11, MATCH(MAX(H12:L12), H12:L12, 0)),4)</f>
        <v xml:space="preserve">May </v>
      </c>
      <c r="N22" s="2" t="s">
        <v>15</v>
      </c>
      <c r="O22" s="6" t="s">
        <v>7</v>
      </c>
      <c r="P22" s="4" cm="1">
        <f t="array" ref="P22">SUMPRODUCT( ( $G$12:$G$17 = $N$22 ) * INDEX( $H$12:$L$17, 0, MATCH( $O$22, $H$11:$L$11, 0 ) ) )</f>
        <v>540</v>
      </c>
    </row>
    <row r="23" spans="2:17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6" spans="2:17" x14ac:dyDescent="0.25">
      <c r="B26" s="17" t="s">
        <v>28</v>
      </c>
      <c r="C26" s="17"/>
      <c r="F26" s="17" t="s">
        <v>29</v>
      </c>
      <c r="G26" s="17"/>
      <c r="K26" s="17" t="s">
        <v>30</v>
      </c>
      <c r="L26" s="17"/>
    </row>
    <row r="27" spans="2:17" x14ac:dyDescent="0.25">
      <c r="B27" s="3" t="s">
        <v>2</v>
      </c>
      <c r="C27" s="3" t="s">
        <v>22</v>
      </c>
      <c r="F27" s="3" t="s">
        <v>1</v>
      </c>
      <c r="G27" s="3" t="s">
        <v>8</v>
      </c>
      <c r="K27" s="3" t="s">
        <v>2</v>
      </c>
      <c r="L27" s="3" t="s">
        <v>20</v>
      </c>
    </row>
    <row r="28" spans="2:17" x14ac:dyDescent="0.25">
      <c r="B28" s="2" t="s">
        <v>12</v>
      </c>
      <c r="C28" s="4">
        <f>AVERAGE(INDEX($E$12:$L$17,MATCH(B28,$F$12:$F$17,0),))</f>
        <v>109</v>
      </c>
      <c r="F28" s="2">
        <v>105</v>
      </c>
      <c r="G28" s="4">
        <f>INDEX(H12:L17,MATCH(F28,$E$12:$E$17,0),MATCH(G27,H11:L11,0))</f>
        <v>260</v>
      </c>
      <c r="K28" s="2" t="s">
        <v>9</v>
      </c>
      <c r="L28" s="2" t="s">
        <v>4</v>
      </c>
    </row>
    <row r="29" spans="2:17" x14ac:dyDescent="0.25">
      <c r="J29" s="3" t="s">
        <v>21</v>
      </c>
      <c r="K29" s="19">
        <f>INDEX($H$12:$L$17,MATCH(TRIM(K28), $F$12:$F$17, 0),MATCH(TRIM(L28), $H$11:$L$11, 0))</f>
        <v>120</v>
      </c>
      <c r="L29" s="20"/>
    </row>
  </sheetData>
  <mergeCells count="11">
    <mergeCell ref="B26:C26"/>
    <mergeCell ref="F26:G26"/>
    <mergeCell ref="K26:L26"/>
    <mergeCell ref="K29:L29"/>
    <mergeCell ref="E8:L9"/>
    <mergeCell ref="C3:N5"/>
    <mergeCell ref="B20:C20"/>
    <mergeCell ref="E20:F20"/>
    <mergeCell ref="H20:I20"/>
    <mergeCell ref="K20:L20"/>
    <mergeCell ref="N20:P20"/>
  </mergeCells>
  <dataValidations count="2">
    <dataValidation type="list" allowBlank="1" showInputMessage="1" showErrorMessage="1" promptTitle="product name" sqref="K28" xr:uid="{E1A48EF5-0FD0-45F6-B80E-AC749D97382B}">
      <formula1>$F$12:$F$17</formula1>
    </dataValidation>
    <dataValidation type="list" allowBlank="1" showInputMessage="1" showErrorMessage="1" sqref="L28" xr:uid="{D1250453-76E2-4E5D-8A91-42317C60A16E}">
      <formula1>$H$11:$L$11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SalesData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2025-11-28T09:10:52Z</dcterms:created>
  <dcterms:modified xsi:type="dcterms:W3CDTF">2025-12-01T18:55:31Z</dcterms:modified>
</cp:coreProperties>
</file>